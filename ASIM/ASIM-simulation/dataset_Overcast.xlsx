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ASIM/ASIM-simulation/"/>
    </mc:Choice>
  </mc:AlternateContent>
  <xr:revisionPtr revIDLastSave="0" documentId="11_D66F6C6344BA04E316F95796702A1970C3C313FE" xr6:coauthVersionLast="47" xr6:coauthVersionMax="47" xr10:uidLastSave="{00000000-0000-0000-0000-000000000000}"/>
  <bookViews>
    <workbookView xWindow="1900" yWindow="1900" windowWidth="28800" windowHeight="15370" xr2:uid="{00000000-000D-0000-FFFF-FFFF00000000}"/>
  </bookViews>
  <sheets>
    <sheet name="Lighting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6" i="1" l="1"/>
  <c r="AE76" i="1"/>
  <c r="AF75" i="1"/>
  <c r="AE75" i="1"/>
  <c r="AF74" i="1"/>
  <c r="AE74" i="1"/>
  <c r="AF73" i="1"/>
  <c r="AE73" i="1"/>
  <c r="AF72" i="1"/>
  <c r="AE72" i="1"/>
  <c r="AF71" i="1"/>
  <c r="AE71" i="1"/>
  <c r="AF70" i="1"/>
  <c r="AE70" i="1"/>
  <c r="AF69" i="1"/>
  <c r="AE69" i="1"/>
  <c r="AF68" i="1"/>
  <c r="AE68" i="1"/>
  <c r="AF67" i="1"/>
  <c r="AE67" i="1"/>
  <c r="AF66" i="1"/>
  <c r="AE66" i="1"/>
  <c r="AF65" i="1"/>
  <c r="AE65" i="1"/>
  <c r="AF64" i="1"/>
  <c r="AE64" i="1"/>
  <c r="AF63" i="1"/>
  <c r="AE63" i="1"/>
  <c r="AF62" i="1"/>
  <c r="AE62" i="1"/>
  <c r="AF61" i="1"/>
  <c r="AE61" i="1"/>
  <c r="AF60" i="1"/>
  <c r="AE60" i="1"/>
  <c r="AF59" i="1"/>
  <c r="AE59" i="1"/>
  <c r="AF58" i="1"/>
  <c r="AE58" i="1"/>
  <c r="AF57" i="1"/>
  <c r="AE57" i="1"/>
  <c r="AF56" i="1"/>
  <c r="AE56" i="1"/>
  <c r="AF55" i="1"/>
  <c r="AE55" i="1"/>
  <c r="AF54" i="1"/>
  <c r="AE54" i="1"/>
  <c r="AF53" i="1"/>
  <c r="AE53" i="1"/>
  <c r="AF52" i="1"/>
  <c r="AE52" i="1"/>
  <c r="AF51" i="1"/>
  <c r="AE51" i="1"/>
  <c r="AF50" i="1"/>
  <c r="AE50" i="1"/>
  <c r="AF49" i="1"/>
  <c r="AE49" i="1"/>
  <c r="AF48" i="1"/>
  <c r="AE48" i="1"/>
  <c r="AF47" i="1"/>
  <c r="AE47" i="1"/>
  <c r="AF46" i="1"/>
  <c r="AE46" i="1"/>
  <c r="AF45" i="1"/>
  <c r="AE45" i="1"/>
  <c r="AF44" i="1"/>
  <c r="AE44" i="1"/>
  <c r="AF43" i="1"/>
  <c r="AE43" i="1"/>
  <c r="AF42" i="1"/>
  <c r="AE42" i="1"/>
  <c r="AF41" i="1"/>
  <c r="AE41" i="1"/>
  <c r="AF40" i="1"/>
  <c r="AE40" i="1"/>
  <c r="AF39" i="1"/>
  <c r="AE39" i="1"/>
  <c r="AF38" i="1"/>
  <c r="AE38" i="1"/>
  <c r="AF37" i="1"/>
  <c r="AE37" i="1"/>
  <c r="AF36" i="1"/>
  <c r="AE36" i="1"/>
  <c r="AF35" i="1"/>
  <c r="AE35" i="1"/>
  <c r="AF34" i="1"/>
  <c r="AE34" i="1"/>
  <c r="AF33" i="1"/>
  <c r="AE33" i="1"/>
  <c r="AF32" i="1"/>
  <c r="AE32" i="1"/>
  <c r="AF31" i="1"/>
  <c r="AE31" i="1"/>
  <c r="AF30" i="1"/>
  <c r="AE30" i="1"/>
  <c r="AF29" i="1"/>
  <c r="AE29" i="1"/>
  <c r="AF28" i="1"/>
  <c r="AE28" i="1"/>
  <c r="AF27" i="1"/>
  <c r="AE27" i="1"/>
  <c r="AF26" i="1"/>
  <c r="AE26" i="1"/>
  <c r="AF25" i="1"/>
  <c r="AE25" i="1"/>
  <c r="AF24" i="1"/>
  <c r="AE24" i="1"/>
  <c r="AF23" i="1"/>
  <c r="AE23" i="1"/>
  <c r="AF22" i="1"/>
  <c r="AE22" i="1"/>
  <c r="AF21" i="1"/>
  <c r="AE21" i="1"/>
  <c r="AF20" i="1"/>
  <c r="AE20" i="1"/>
  <c r="AF19" i="1"/>
  <c r="AE19" i="1"/>
  <c r="AF18" i="1"/>
  <c r="AE18" i="1"/>
  <c r="AF17" i="1"/>
  <c r="AE17" i="1"/>
  <c r="AF16" i="1"/>
  <c r="AE16" i="1"/>
  <c r="AF15" i="1"/>
  <c r="AE15" i="1"/>
  <c r="AF14" i="1"/>
  <c r="AE14" i="1"/>
  <c r="AF13" i="1"/>
  <c r="AE13" i="1"/>
  <c r="AF12" i="1"/>
  <c r="AE12" i="1"/>
  <c r="AF11" i="1"/>
  <c r="AE11" i="1"/>
  <c r="AF10" i="1"/>
  <c r="AE10" i="1"/>
  <c r="AF9" i="1"/>
  <c r="AE9" i="1"/>
  <c r="AF8" i="1"/>
  <c r="AE8" i="1"/>
  <c r="AF7" i="1"/>
  <c r="AE7" i="1"/>
  <c r="AF6" i="1"/>
  <c r="AE6" i="1"/>
  <c r="AF5" i="1"/>
  <c r="AE5" i="1"/>
  <c r="AF4" i="1"/>
  <c r="AE4" i="1"/>
  <c r="AF3" i="1"/>
  <c r="AE3" i="1"/>
  <c r="AF2" i="1"/>
  <c r="A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User-specified zonal PIR ceiling-only rule. For each occupied Zone (seats 0-7, 8-15, or 16-23), the ceiling level is the maximum seat-specific requirement; an empty Zone is off. Power = 13.2 W x summed Zone levels.</t>
        </r>
      </text>
    </comment>
    <comment ref="AF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User-specified occupancy-triggered rule-based hybrid rule. Each occupied Zone uses the maximum seat-specific ceiling requirement, while each occupied seat uses its own task-light level. Power = 13.2 W x summed Zone levels + 1.5 W x summed occupied-seat task levels.</t>
        </r>
      </text>
    </comment>
  </commentList>
</comments>
</file>

<file path=xl/sharedStrings.xml><?xml version="1.0" encoding="utf-8"?>
<sst xmlns="http://schemas.openxmlformats.org/spreadsheetml/2006/main" count="107" uniqueCount="107">
  <si>
    <t>occupancy_count</t>
  </si>
  <si>
    <t>seat_list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</si>
  <si>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</si>
  <si>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</si>
  <si>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</si>
  <si>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</si>
  <si>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</si>
  <si>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</si>
  <si>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</si>
  <si>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</si>
  <si>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</si>
  <si>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</si>
  <si>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</si>
  <si>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</si>
  <si>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</si>
  <si>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</si>
  <si>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</si>
  <si>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</si>
  <si>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</si>
  <si>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</si>
  <si>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</si>
  <si>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</si>
  <si>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</si>
  <si>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</si>
  <si>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</si>
  <si>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</si>
  <si>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</si>
  <si>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</si>
  <si>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</si>
  <si>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power</t>
  </si>
  <si>
    <t>zonal_pir_ceiling_only_power_W</t>
  </si>
  <si>
    <t>occupancy_triggered_rule_based_hybrid_power_W</t>
  </si>
  <si>
    <t>0</t>
  </si>
  <si>
    <t>3</t>
  </si>
  <si>
    <t>8</t>
  </si>
  <si>
    <t>20</t>
  </si>
  <si>
    <t>23</t>
  </si>
  <si>
    <t>2;17</t>
  </si>
  <si>
    <t>3;23</t>
  </si>
  <si>
    <t>4;7</t>
  </si>
  <si>
    <t>13;18</t>
  </si>
  <si>
    <t>21;23</t>
  </si>
  <si>
    <t>0;1;2</t>
  </si>
  <si>
    <t>0;17;19</t>
  </si>
  <si>
    <t>6;7;16</t>
  </si>
  <si>
    <t>6;20;22</t>
  </si>
  <si>
    <t>13;17;22</t>
  </si>
  <si>
    <t>0;5;13;22</t>
  </si>
  <si>
    <t>2;3;10;12</t>
  </si>
  <si>
    <t>3;8;11;19</t>
  </si>
  <si>
    <t>4;6;8;10</t>
  </si>
  <si>
    <t>7;8;14;18</t>
  </si>
  <si>
    <t>1;2;7;9;21</t>
  </si>
  <si>
    <t>1;3;14;17;23</t>
  </si>
  <si>
    <t>2;3;7;8;12</t>
  </si>
  <si>
    <t>2;9;12;17;20</t>
  </si>
  <si>
    <t>6;11;18;19;22</t>
  </si>
  <si>
    <t>1;2;7;8;10;12</t>
  </si>
  <si>
    <t>1;7;10;17;20;22</t>
  </si>
  <si>
    <t>2;5;6;8;20;21</t>
  </si>
  <si>
    <t>5;7;8;12;14;17</t>
  </si>
  <si>
    <t>5;11;14;19;20;21</t>
  </si>
  <si>
    <t>1;2;3;4;15;16;23</t>
  </si>
  <si>
    <t>2;5;12;13;19;20;21</t>
  </si>
  <si>
    <t>4;7;8;17;19;22;23</t>
  </si>
  <si>
    <t>6;10;12;14;15;18;23</t>
  </si>
  <si>
    <t>7;11;12;13;18;22;23</t>
  </si>
  <si>
    <t>0;3;5;8;14;16;19;23</t>
  </si>
  <si>
    <t>0;3;8;12;14;16;17;19</t>
  </si>
  <si>
    <t>0;5;10;15;16;17;19;20</t>
  </si>
  <si>
    <t>3;8;9;10;13;17;20;21</t>
  </si>
  <si>
    <t>4;6;9;11;16;19;20;23</t>
  </si>
  <si>
    <t>0;1;2;7;10;18;20;21;22</t>
  </si>
  <si>
    <t>0;2;3;7;10;16;17;21;22</t>
  </si>
  <si>
    <t>1;2;3;7;9;11;15;17;20</t>
  </si>
  <si>
    <t>2;4;5;8;13;15;17;21;22</t>
  </si>
  <si>
    <t>6;9;11;12;14;16;17;22;23</t>
  </si>
  <si>
    <t>0;1;2;3;7;14;16;17;21;23</t>
  </si>
  <si>
    <t>1;3;10;12;15;19;20;21;22;23</t>
  </si>
  <si>
    <t>3;4;5;6;8;13;14;17;20;23</t>
  </si>
  <si>
    <t>3;6;7;11;13;15;16;18;20;22</t>
  </si>
  <si>
    <t>4;6;7;8;12;15;16;17;20;22</t>
  </si>
  <si>
    <t>0;1;4;5;6;12;13;15;19;20;22</t>
  </si>
  <si>
    <t>0;1;5;8;10;15;16;17;19;21;23</t>
  </si>
  <si>
    <t>0;4;6;9;13;14;15;16;17;20;22</t>
  </si>
  <si>
    <t>1;2;3;8;10;13;16;17;18;19;22</t>
  </si>
  <si>
    <t>2;3;5;7;9;12;14;18;19;21;23</t>
  </si>
  <si>
    <t>0;1;2;3;5;6;8;14;17;18;19;20</t>
  </si>
  <si>
    <t>0;5;7;8;9;10;11;13;14;16;17;21</t>
  </si>
  <si>
    <t>1;4;7;8;9;10;12;14;16;19;22;23</t>
  </si>
  <si>
    <t>1;6;8;10;15;16;17;19;20;21;22;23</t>
  </si>
  <si>
    <t>3;4;8;9;16;17;18;19;20;21;22;23</t>
  </si>
  <si>
    <t>0;1;2;4;5;11;13;16;17;18;21;22;23</t>
  </si>
  <si>
    <t>0;1;4;5;6;7;9;11;14;15;18;22;23</t>
  </si>
  <si>
    <t>0;1;4;5;8;10;12;13;14;18;21;22;23</t>
  </si>
  <si>
    <t>0;3;5;6;7;8;10;13;18;19;21;22;23</t>
  </si>
  <si>
    <t>1;2;3;4;6;7;11;12;13;14;17;19;22</t>
  </si>
  <si>
    <t>0;1;3;4;6;9;10;11;13;15;16;19;20;22</t>
  </si>
  <si>
    <t>0;2;3;4;8;9;10;11;12;13;14;16;17;20</t>
  </si>
  <si>
    <t>0;2;5;6;9;10;11;13;14;16;17;20;22;23</t>
  </si>
  <si>
    <t>0;3;4;5;6;9;11;12;15;17;18;19;21;23</t>
  </si>
  <si>
    <t>3;4;6;9;10;12;13;16;17;18;19;20;22;23</t>
  </si>
  <si>
    <t>0;1;2;3;4;6;7;9;10;13;15;18;19;20;21</t>
  </si>
  <si>
    <t>0;1;3;4;6;7;12;13;14;15;18;20;21;22;23</t>
  </si>
  <si>
    <t>1;2;3;5;7;8;10;11;12;14;16;17;18;20;22</t>
  </si>
  <si>
    <t>1;4;5;6;8;9;10;14;15;16;19;20;21;22;23</t>
  </si>
  <si>
    <t>3;4;5;7;10;11;12;13;14;16;17;18;19;21;23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</si>
</sst>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6"/>
  <sheetViews>
    <sheetView tabSelected="1" workbookViewId="0">
      <selection activeCell="A34" sqref="A34:XFD34"/>
    </sheetView>
  </sheetViews>
  <sheetFormatPr defaultRowHeight="14.5" x14ac:dyDescent="0.35"/>
  <cols>
    <col min="31" max="31" width="34" customWidth="1"/>
    <col min="32" max="32" width="50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1</v>
      </c>
      <c r="B2" t="s">
        <v>32</v>
      </c>
      <c r="C2" s="1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1">
        <v>5</v>
      </c>
      <c r="AB2">
        <v>0</v>
      </c>
      <c r="AC2">
        <v>0</v>
      </c>
      <c r="AD2">
        <v>72</v>
      </c>
      <c r="AE2" s="4">
        <f t="shared" ref="AE2:AE33" si="0">13.2*(MAX(IF(ISNUMBER(SEARCH(";0;",";"&amp;$B2&amp;";")),10,0),IF(ISNUMBER(SEARCH(";1;",";"&amp;$B2&amp;";")),9,0),IF(ISNUMBER(SEARCH(";2;",";"&amp;$B2&amp;";")),9,0),IF(ISNUMBER(SEARCH(";3;",";"&amp;$B2&amp;";")),10,0),IF(ISNUMBER(SEARCH(";4;",";"&amp;$B2&amp;";")),8,0),IF(ISNUMBER(SEARCH(";5;",";"&amp;$B2&amp;";")),8,0),IF(ISNUMBER(SEARCH(";6;",";"&amp;$B2&amp;";")),8,0),IF(ISNUMBER(SEARCH(";7;",";"&amp;$B2&amp;";")),9,0))+MAX(IF(ISNUMBER(SEARCH(";8;",";"&amp;$B2&amp;";")),8,0),IF(ISNUMBER(SEARCH(";9;",";"&amp;$B2&amp;";")),7,0),IF(ISNUMBER(SEARCH(";10;",";"&amp;$B2&amp;";")),7,0),IF(ISNUMBER(SEARCH(";11;",";"&amp;$B2&amp;";")),8,0),IF(ISNUMBER(SEARCH(";12;",";"&amp;$B2&amp;";")),5,0),IF(ISNUMBER(SEARCH(";13;",";"&amp;$B2&amp;";")),4,0),IF(ISNUMBER(SEARCH(";14;",";"&amp;$B2&amp;";")),4,0),IF(ISNUMBER(SEARCH(";15;",";"&amp;$B2&amp;";")),5,0))+MAX(IF(ISNUMBER(SEARCH(";16;",";"&amp;$B2&amp;";")),5,0),IF(ISNUMBER(SEARCH(";17;",";"&amp;$B2&amp;";")),4,0),IF(ISNUMBER(SEARCH(";18;",";"&amp;$B2&amp;";")),4,0),IF(ISNUMBER(SEARCH(";19;",";"&amp;$B2&amp;";")),5,0),IF(ISNUMBER(SEARCH(";20;",";"&amp;$B2&amp;";")),0,0),IF(ISNUMBER(SEARCH(";21;",";"&amp;$B2&amp;";")),0,0),IF(ISNUMBER(SEARCH(";22;",";"&amp;$B2&amp;";")),0,0),IF(ISNUMBER(SEARCH(";23;",";"&amp;$B2&amp;";")),0,0)))</f>
        <v>132</v>
      </c>
      <c r="AF2" s="4">
        <f t="shared" ref="AF2:AF33" si="1">13.2*(MAX(IF(ISNUMBER(SEARCH(";0;",";"&amp;$B2&amp;";")),5,0),IF(ISNUMBER(SEARCH(";1;",";"&amp;$B2&amp;";")),5,0),IF(ISNUMBER(SEARCH(";2;",";"&amp;$B2&amp;";")),5,0),IF(ISNUMBER(SEARCH(";3;",";"&amp;$B2&amp;";")),5,0),IF(ISNUMBER(SEARCH(";4;",";"&amp;$B2&amp;";")),4,0),IF(ISNUMBER(SEARCH(";5;",";"&amp;$B2&amp;";")),4,0),IF(ISNUMBER(SEARCH(";6;",";"&amp;$B2&amp;";")),4,0),IF(ISNUMBER(SEARCH(";7;",";"&amp;$B2&amp;";")),4,0))+MAX(IF(ISNUMBER(SEARCH(";8;",";"&amp;$B2&amp;";")),3,0),IF(ISNUMBER(SEARCH(";9;",";"&amp;$B2&amp;";")),3,0),IF(ISNUMBER(SEARCH(";10;",";"&amp;$B2&amp;";")),3,0),IF(ISNUMBER(SEARCH(";11;",";"&amp;$B2&amp;";")),3,0),IF(ISNUMBER(SEARCH(";12;",";"&amp;$B2&amp;";")),0,0),IF(ISNUMBER(SEARCH(";13;",";"&amp;$B2&amp;";")),0,0),IF(ISNUMBER(SEARCH(";14;",";"&amp;$B2&amp;";")),0,0),IF(ISNUMBER(SEARCH(";15;",";"&amp;$B2&amp;";")),0,0))+MAX(IF(ISNUMBER(SEARCH(";16;",";"&amp;$B2&amp;";")),0,0),IF(ISNUMBER(SEARCH(";17;",";"&amp;$B2&amp;";")),0,0),IF(ISNUMBER(SEARCH(";18;",";"&amp;$B2&amp;";")),0,0),IF(ISNUMBER(SEARCH(";19;",";"&amp;$B2&amp;";")),0,0),IF(ISNUMBER(SEARCH(";20;",";"&amp;$B2&amp;";")),0,0),IF(ISNUMBER(SEARCH(";21;",";"&amp;$B2&amp;";")),0,0),IF(ISNUMBER(SEARCH(";22;",";"&amp;$B2&amp;";")),0,0),IF(ISNUMBER(SEARCH(";23;",";"&amp;$B2&amp;";")),0,0)))+1.5*(IF(ISNUMBER(SEARCH(";0;",";"&amp;$B2&amp;";")),4,0)+IF(ISNUMBER(SEARCH(";1;",";"&amp;$B2&amp;";")),4,0)+IF(ISNUMBER(SEARCH(";2;",";"&amp;$B2&amp;";")),4,0)+IF(ISNUMBER(SEARCH(";3;",";"&amp;$B2&amp;";")),4,0)+IF(ISNUMBER(SEARCH(";4;",";"&amp;$B2&amp;";")),4,0)+IF(ISNUMBER(SEARCH(";5;",";"&amp;$B2&amp;";")),4,0)+IF(ISNUMBER(SEARCH(";6;",";"&amp;$B2&amp;";")),4,0)+IF(ISNUMBER(SEARCH(";7;",";"&amp;$B2&amp;";")),4,0)+IF(ISNUMBER(SEARCH(";8;",";"&amp;$B2&amp;";")),3,0)+IF(ISNUMBER(SEARCH(";9;",";"&amp;$B2&amp;";")),3,0)+IF(ISNUMBER(SEARCH(";10;",";"&amp;$B2&amp;";")),3,0)+IF(ISNUMBER(SEARCH(";11;",";"&amp;$B2&amp;";")),3,0)+IF(ISNUMBER(SEARCH(";12;",";"&amp;$B2&amp;";")),3,0)+IF(ISNUMBER(SEARCH(";13;",";"&amp;$B2&amp;";")),3,0)+IF(ISNUMBER(SEARCH(";14;",";"&amp;$B2&amp;";")),3,0)+IF(ISNUMBER(SEARCH(";15;",";"&amp;$B2&amp;";")),3,0)+IF(ISNUMBER(SEARCH(";16;",";"&amp;$B2&amp;";")),3,0)+IF(ISNUMBER(SEARCH(";17;",";"&amp;$B2&amp;";")),3,0)+IF(ISNUMBER(SEARCH(";18;",";"&amp;$B2&amp;";")),3,0)+IF(ISNUMBER(SEARCH(";19;",";"&amp;$B2&amp;";")),3,0)+IF(ISNUMBER(SEARCH(";20;",";"&amp;$B2&amp;";")),0,0)+IF(ISNUMBER(SEARCH(";21;",";"&amp;$B2&amp;";")),0,0)+IF(ISNUMBER(SEARCH(";22;",";"&amp;$B2&amp;";")),0,0)+IF(ISNUMBER(SEARCH(";23;",";"&amp;$B2&amp;";")),0,0))</f>
        <v>72</v>
      </c>
    </row>
    <row r="3" spans="1:32" x14ac:dyDescent="0.35">
      <c r="A3">
        <v>1</v>
      </c>
      <c r="B3" t="s">
        <v>33</v>
      </c>
      <c r="C3">
        <v>0</v>
      </c>
      <c r="D3">
        <v>0</v>
      </c>
      <c r="E3">
        <v>0</v>
      </c>
      <c r="F3" s="1">
        <v>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1">
        <v>5</v>
      </c>
      <c r="AB3">
        <v>0</v>
      </c>
      <c r="AC3">
        <v>0</v>
      </c>
      <c r="AD3">
        <v>72</v>
      </c>
      <c r="AE3" s="4">
        <f t="shared" si="0"/>
        <v>132</v>
      </c>
      <c r="AF3" s="4">
        <f t="shared" si="1"/>
        <v>72</v>
      </c>
    </row>
    <row r="4" spans="1:32" x14ac:dyDescent="0.35">
      <c r="A4">
        <v>1</v>
      </c>
      <c r="B4" t="s">
        <v>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1">
        <v>3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s="1">
        <v>3</v>
      </c>
      <c r="AC4">
        <v>0</v>
      </c>
      <c r="AD4">
        <v>44.1</v>
      </c>
      <c r="AE4" s="4">
        <f t="shared" si="0"/>
        <v>105.6</v>
      </c>
      <c r="AF4" s="4">
        <f t="shared" si="1"/>
        <v>44.099999999999994</v>
      </c>
    </row>
    <row r="5" spans="1:32" x14ac:dyDescent="0.35">
      <c r="A5">
        <v>1</v>
      </c>
      <c r="B5" t="s">
        <v>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 s="4">
        <f t="shared" si="0"/>
        <v>0</v>
      </c>
      <c r="AF5" s="4">
        <f t="shared" si="1"/>
        <v>0</v>
      </c>
    </row>
    <row r="6" spans="1:32" x14ac:dyDescent="0.35">
      <c r="A6">
        <v>1</v>
      </c>
      <c r="B6" t="s">
        <v>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s="1">
        <v>4</v>
      </c>
      <c r="AA6">
        <v>0</v>
      </c>
      <c r="AB6">
        <v>0</v>
      </c>
      <c r="AC6">
        <v>0</v>
      </c>
      <c r="AD6">
        <v>6</v>
      </c>
      <c r="AE6" s="4">
        <f t="shared" si="0"/>
        <v>0</v>
      </c>
      <c r="AF6" s="4">
        <f t="shared" si="1"/>
        <v>0</v>
      </c>
    </row>
    <row r="7" spans="1:32" x14ac:dyDescent="0.35">
      <c r="A7">
        <v>2</v>
      </c>
      <c r="B7" t="s">
        <v>37</v>
      </c>
      <c r="C7">
        <v>0</v>
      </c>
      <c r="D7">
        <v>0</v>
      </c>
      <c r="E7" s="1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1">
        <v>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 s="1">
        <v>5</v>
      </c>
      <c r="AB7">
        <v>0</v>
      </c>
      <c r="AC7">
        <v>0</v>
      </c>
      <c r="AD7">
        <v>76.5</v>
      </c>
      <c r="AE7" s="4">
        <f t="shared" si="0"/>
        <v>171.6</v>
      </c>
      <c r="AF7" s="4">
        <f t="shared" si="1"/>
        <v>76.5</v>
      </c>
    </row>
    <row r="8" spans="1:32" x14ac:dyDescent="0.35">
      <c r="A8">
        <v>2</v>
      </c>
      <c r="B8" t="s">
        <v>38</v>
      </c>
      <c r="C8">
        <v>0</v>
      </c>
      <c r="D8">
        <v>0</v>
      </c>
      <c r="E8">
        <v>0</v>
      </c>
      <c r="F8" s="1">
        <v>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 s="1">
        <v>5</v>
      </c>
      <c r="AB8">
        <v>0</v>
      </c>
      <c r="AC8">
        <v>0</v>
      </c>
      <c r="AD8">
        <v>72</v>
      </c>
      <c r="AE8" s="4">
        <f t="shared" si="0"/>
        <v>132</v>
      </c>
      <c r="AF8" s="4">
        <f t="shared" si="1"/>
        <v>72</v>
      </c>
    </row>
    <row r="9" spans="1:32" x14ac:dyDescent="0.35">
      <c r="A9">
        <v>2</v>
      </c>
      <c r="B9" t="s">
        <v>39</v>
      </c>
      <c r="C9">
        <v>0</v>
      </c>
      <c r="D9">
        <v>0</v>
      </c>
      <c r="E9">
        <v>0</v>
      </c>
      <c r="F9">
        <v>0</v>
      </c>
      <c r="G9" s="1">
        <v>3</v>
      </c>
      <c r="H9">
        <v>0</v>
      </c>
      <c r="I9">
        <v>0</v>
      </c>
      <c r="J9" s="1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">
        <v>4</v>
      </c>
      <c r="AB9">
        <v>0</v>
      </c>
      <c r="AC9">
        <v>0</v>
      </c>
      <c r="AD9">
        <v>61.8</v>
      </c>
      <c r="AE9" s="4">
        <f t="shared" si="0"/>
        <v>118.8</v>
      </c>
      <c r="AF9" s="4">
        <f t="shared" si="1"/>
        <v>64.8</v>
      </c>
    </row>
    <row r="10" spans="1:32" x14ac:dyDescent="0.35">
      <c r="A10">
        <v>2</v>
      </c>
      <c r="B10" t="s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3</v>
      </c>
      <c r="Q10">
        <v>0</v>
      </c>
      <c r="R10">
        <v>0</v>
      </c>
      <c r="S10">
        <v>0</v>
      </c>
      <c r="T10">
        <v>0</v>
      </c>
      <c r="U10" s="1">
        <v>3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9</v>
      </c>
      <c r="AE10" s="4">
        <f t="shared" si="0"/>
        <v>105.6</v>
      </c>
      <c r="AF10" s="4">
        <f t="shared" si="1"/>
        <v>9</v>
      </c>
    </row>
    <row r="11" spans="1:32" x14ac:dyDescent="0.35">
      <c r="A11">
        <v>2</v>
      </c>
      <c r="B11" t="s">
        <v>41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 s="4">
        <f t="shared" si="0"/>
        <v>0</v>
      </c>
      <c r="AF11" s="4">
        <f t="shared" si="1"/>
        <v>0</v>
      </c>
    </row>
    <row r="12" spans="1:32" x14ac:dyDescent="0.35">
      <c r="A12">
        <v>3</v>
      </c>
      <c r="B12" t="s">
        <v>42</v>
      </c>
      <c r="C12" s="1">
        <v>4</v>
      </c>
      <c r="D12" s="1">
        <v>4</v>
      </c>
      <c r="E12" s="1">
        <v>4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 s="1">
        <v>5</v>
      </c>
      <c r="AB12">
        <v>0</v>
      </c>
      <c r="AC12">
        <v>0</v>
      </c>
      <c r="AD12">
        <v>84</v>
      </c>
      <c r="AE12" s="4">
        <f t="shared" si="0"/>
        <v>132</v>
      </c>
      <c r="AF12" s="4">
        <f t="shared" si="1"/>
        <v>84</v>
      </c>
    </row>
    <row r="13" spans="1:32" x14ac:dyDescent="0.35">
      <c r="A13">
        <v>3</v>
      </c>
      <c r="B13" t="s">
        <v>43</v>
      </c>
      <c r="C13" s="1">
        <v>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1">
        <v>3</v>
      </c>
      <c r="U13">
        <v>0</v>
      </c>
      <c r="V13" s="1">
        <v>3</v>
      </c>
      <c r="W13">
        <v>0</v>
      </c>
      <c r="X13">
        <v>0</v>
      </c>
      <c r="Y13">
        <v>0</v>
      </c>
      <c r="Z13">
        <v>0</v>
      </c>
      <c r="AA13" s="1">
        <v>5</v>
      </c>
      <c r="AB13">
        <v>0</v>
      </c>
      <c r="AC13">
        <v>0</v>
      </c>
      <c r="AD13">
        <v>81</v>
      </c>
      <c r="AE13" s="4">
        <f t="shared" si="0"/>
        <v>198</v>
      </c>
      <c r="AF13" s="4">
        <f t="shared" si="1"/>
        <v>81</v>
      </c>
    </row>
    <row r="14" spans="1:32" x14ac:dyDescent="0.35">
      <c r="A14">
        <v>3</v>
      </c>
      <c r="B14" t="s">
        <v>44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1">
        <v>2</v>
      </c>
      <c r="J14" s="1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s="1">
        <v>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 s="1">
        <v>5</v>
      </c>
      <c r="AB14">
        <v>0</v>
      </c>
      <c r="AC14">
        <v>0</v>
      </c>
      <c r="AD14">
        <v>76.5</v>
      </c>
      <c r="AE14" s="4">
        <f t="shared" si="0"/>
        <v>184.79999999999998</v>
      </c>
      <c r="AF14" s="4">
        <f t="shared" si="1"/>
        <v>69.3</v>
      </c>
    </row>
    <row r="15" spans="1:32" x14ac:dyDescent="0.35">
      <c r="A15">
        <v>3</v>
      </c>
      <c r="B15" t="s">
        <v>45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1">
        <v>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 s="1">
        <v>5</v>
      </c>
      <c r="AB15">
        <v>0</v>
      </c>
      <c r="AC15">
        <v>0</v>
      </c>
      <c r="AD15">
        <v>69</v>
      </c>
      <c r="AE15" s="4">
        <f t="shared" si="0"/>
        <v>105.6</v>
      </c>
      <c r="AF15" s="4">
        <f t="shared" si="1"/>
        <v>58.8</v>
      </c>
    </row>
    <row r="16" spans="1:32" x14ac:dyDescent="0.35">
      <c r="A16">
        <v>3</v>
      </c>
      <c r="B16" t="s">
        <v>46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s="1">
        <v>3</v>
      </c>
      <c r="Q16">
        <v>0</v>
      </c>
      <c r="R16">
        <v>0</v>
      </c>
      <c r="S16">
        <v>0</v>
      </c>
      <c r="T16" s="1">
        <v>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</v>
      </c>
      <c r="AE16" s="4">
        <f t="shared" si="0"/>
        <v>105.6</v>
      </c>
      <c r="AF16" s="4">
        <f t="shared" si="1"/>
        <v>9</v>
      </c>
    </row>
    <row r="17" spans="1:32" x14ac:dyDescent="0.35">
      <c r="A17">
        <v>4</v>
      </c>
      <c r="B17" t="s">
        <v>47</v>
      </c>
      <c r="C17" s="1">
        <v>4</v>
      </c>
      <c r="D17">
        <v>0</v>
      </c>
      <c r="E17">
        <v>0</v>
      </c>
      <c r="F17">
        <v>0</v>
      </c>
      <c r="G17">
        <v>0</v>
      </c>
      <c r="H17" s="1">
        <v>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s="1">
        <v>3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 s="1">
        <v>5</v>
      </c>
      <c r="AB17">
        <v>0</v>
      </c>
      <c r="AC17">
        <v>0</v>
      </c>
      <c r="AD17">
        <v>79.5</v>
      </c>
      <c r="AE17" s="4">
        <f t="shared" si="0"/>
        <v>184.79999999999998</v>
      </c>
      <c r="AF17" s="4">
        <f t="shared" si="1"/>
        <v>82.5</v>
      </c>
    </row>
    <row r="18" spans="1:32" x14ac:dyDescent="0.35">
      <c r="A18">
        <v>4</v>
      </c>
      <c r="B18" t="s">
        <v>48</v>
      </c>
      <c r="C18">
        <v>0</v>
      </c>
      <c r="D18">
        <v>0</v>
      </c>
      <c r="E18" s="1">
        <v>4</v>
      </c>
      <c r="F18" s="1">
        <v>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1">
        <v>4</v>
      </c>
      <c r="N18">
        <v>0</v>
      </c>
      <c r="O18" s="1">
        <v>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 s="1">
        <v>5</v>
      </c>
      <c r="AB18">
        <v>0</v>
      </c>
      <c r="AC18">
        <v>0</v>
      </c>
      <c r="AD18">
        <v>88.5</v>
      </c>
      <c r="AE18" s="4">
        <f t="shared" si="0"/>
        <v>224.39999999999998</v>
      </c>
      <c r="AF18" s="4">
        <f t="shared" si="1"/>
        <v>126.6</v>
      </c>
    </row>
    <row r="19" spans="1:32" x14ac:dyDescent="0.35">
      <c r="A19">
        <v>4</v>
      </c>
      <c r="B19" t="s">
        <v>49</v>
      </c>
      <c r="C19">
        <v>0</v>
      </c>
      <c r="D19">
        <v>0</v>
      </c>
      <c r="E19">
        <v>0</v>
      </c>
      <c r="F19" s="1">
        <v>4</v>
      </c>
      <c r="G19">
        <v>0</v>
      </c>
      <c r="H19">
        <v>0</v>
      </c>
      <c r="I19">
        <v>0</v>
      </c>
      <c r="J19">
        <v>0</v>
      </c>
      <c r="K19" s="1">
        <v>4</v>
      </c>
      <c r="L19">
        <v>0</v>
      </c>
      <c r="M19">
        <v>0</v>
      </c>
      <c r="N19" s="1">
        <v>4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1">
        <v>3</v>
      </c>
      <c r="W19">
        <v>0</v>
      </c>
      <c r="X19">
        <v>0</v>
      </c>
      <c r="Y19">
        <v>0</v>
      </c>
      <c r="Z19">
        <v>0</v>
      </c>
      <c r="AA19" s="1">
        <v>5</v>
      </c>
      <c r="AB19">
        <v>0</v>
      </c>
      <c r="AC19">
        <v>0</v>
      </c>
      <c r="AD19">
        <v>88.5</v>
      </c>
      <c r="AE19" s="4">
        <f t="shared" si="0"/>
        <v>303.59999999999997</v>
      </c>
      <c r="AF19" s="4">
        <f t="shared" si="1"/>
        <v>125.1</v>
      </c>
    </row>
    <row r="20" spans="1:32" x14ac:dyDescent="0.35">
      <c r="A20">
        <v>4</v>
      </c>
      <c r="B20" t="s">
        <v>50</v>
      </c>
      <c r="C20">
        <v>0</v>
      </c>
      <c r="D20">
        <v>0</v>
      </c>
      <c r="E20">
        <v>0</v>
      </c>
      <c r="F20">
        <v>0</v>
      </c>
      <c r="G20" s="1">
        <v>2</v>
      </c>
      <c r="H20">
        <v>0</v>
      </c>
      <c r="I20" s="1">
        <v>2</v>
      </c>
      <c r="J20">
        <v>0</v>
      </c>
      <c r="K20" s="1">
        <v>4</v>
      </c>
      <c r="L20">
        <v>0</v>
      </c>
      <c r="M20" s="1">
        <v>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 s="1">
        <v>5</v>
      </c>
      <c r="AB20">
        <v>0</v>
      </c>
      <c r="AC20">
        <v>0</v>
      </c>
      <c r="AD20">
        <v>84</v>
      </c>
      <c r="AE20" s="4">
        <f t="shared" si="0"/>
        <v>211.2</v>
      </c>
      <c r="AF20" s="4">
        <f t="shared" si="1"/>
        <v>113.39999999999999</v>
      </c>
    </row>
    <row r="21" spans="1:32" x14ac:dyDescent="0.35">
      <c r="A21">
        <v>4</v>
      </c>
      <c r="B21" t="s">
        <v>51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1">
        <v>2</v>
      </c>
      <c r="K21" s="1">
        <v>4</v>
      </c>
      <c r="L21">
        <v>0</v>
      </c>
      <c r="M21">
        <v>0</v>
      </c>
      <c r="N21">
        <v>0</v>
      </c>
      <c r="O21">
        <v>0</v>
      </c>
      <c r="P21">
        <v>0</v>
      </c>
      <c r="Q21" s="1">
        <v>3</v>
      </c>
      <c r="R21">
        <v>0</v>
      </c>
      <c r="S21">
        <v>0</v>
      </c>
      <c r="T21">
        <v>0</v>
      </c>
      <c r="U21" s="1">
        <v>3</v>
      </c>
      <c r="V21">
        <v>0</v>
      </c>
      <c r="W21">
        <v>0</v>
      </c>
      <c r="X21">
        <v>0</v>
      </c>
      <c r="Y21">
        <v>0</v>
      </c>
      <c r="Z21">
        <v>0</v>
      </c>
      <c r="AA21" s="1">
        <v>5</v>
      </c>
      <c r="AB21">
        <v>0</v>
      </c>
      <c r="AC21">
        <v>0</v>
      </c>
      <c r="AD21">
        <v>84</v>
      </c>
      <c r="AE21" s="4">
        <f t="shared" si="0"/>
        <v>277.2</v>
      </c>
      <c r="AF21" s="4">
        <f t="shared" si="1"/>
        <v>111.89999999999999</v>
      </c>
    </row>
    <row r="22" spans="1:32" x14ac:dyDescent="0.35">
      <c r="A22">
        <v>5</v>
      </c>
      <c r="B22" t="s">
        <v>52</v>
      </c>
      <c r="C22">
        <v>0</v>
      </c>
      <c r="D22" s="1">
        <v>4</v>
      </c>
      <c r="E22" s="1">
        <v>4</v>
      </c>
      <c r="F22">
        <v>0</v>
      </c>
      <c r="G22">
        <v>0</v>
      </c>
      <c r="H22">
        <v>0</v>
      </c>
      <c r="I22">
        <v>0</v>
      </c>
      <c r="J22" s="1">
        <v>2</v>
      </c>
      <c r="K22">
        <v>0</v>
      </c>
      <c r="L22" s="1">
        <v>4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 s="1">
        <v>5</v>
      </c>
      <c r="AB22">
        <v>0</v>
      </c>
      <c r="AC22">
        <v>0</v>
      </c>
      <c r="AD22">
        <v>87</v>
      </c>
      <c r="AE22" s="4">
        <f t="shared" si="0"/>
        <v>211.2</v>
      </c>
      <c r="AF22" s="4">
        <f t="shared" si="1"/>
        <v>128.1</v>
      </c>
    </row>
    <row r="23" spans="1:32" x14ac:dyDescent="0.35">
      <c r="A23">
        <v>5</v>
      </c>
      <c r="B23" t="s">
        <v>53</v>
      </c>
      <c r="C23">
        <v>0</v>
      </c>
      <c r="D23" s="1">
        <v>4</v>
      </c>
      <c r="E23">
        <v>0</v>
      </c>
      <c r="F23" s="1">
        <v>4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s="1">
        <v>3</v>
      </c>
      <c r="R23">
        <v>0</v>
      </c>
      <c r="S23">
        <v>0</v>
      </c>
      <c r="T23" s="1">
        <v>3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 s="1">
        <v>5</v>
      </c>
      <c r="AB23">
        <v>0</v>
      </c>
      <c r="AC23">
        <v>0</v>
      </c>
      <c r="AD23">
        <v>87</v>
      </c>
      <c r="AE23" s="4">
        <f t="shared" si="0"/>
        <v>237.6</v>
      </c>
      <c r="AF23" s="4">
        <f t="shared" si="1"/>
        <v>87</v>
      </c>
    </row>
    <row r="24" spans="1:32" x14ac:dyDescent="0.35">
      <c r="A24">
        <v>5</v>
      </c>
      <c r="B24" t="s">
        <v>54</v>
      </c>
      <c r="C24">
        <v>0</v>
      </c>
      <c r="D24">
        <v>0</v>
      </c>
      <c r="E24" s="1">
        <v>4</v>
      </c>
      <c r="F24" s="1">
        <v>4</v>
      </c>
      <c r="G24">
        <v>0</v>
      </c>
      <c r="H24">
        <v>0</v>
      </c>
      <c r="I24">
        <v>0</v>
      </c>
      <c r="J24" s="1">
        <v>2</v>
      </c>
      <c r="K24" s="1">
        <v>4</v>
      </c>
      <c r="L24">
        <v>0</v>
      </c>
      <c r="M24">
        <v>0</v>
      </c>
      <c r="N24">
        <v>0</v>
      </c>
      <c r="O24" s="1">
        <v>3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 s="1">
        <v>5</v>
      </c>
      <c r="AB24">
        <v>0</v>
      </c>
      <c r="AC24">
        <v>0</v>
      </c>
      <c r="AD24">
        <v>91.5</v>
      </c>
      <c r="AE24" s="4">
        <f t="shared" si="0"/>
        <v>237.6</v>
      </c>
      <c r="AF24" s="4">
        <f t="shared" si="1"/>
        <v>132.6</v>
      </c>
    </row>
    <row r="25" spans="1:32" x14ac:dyDescent="0.35">
      <c r="A25">
        <v>5</v>
      </c>
      <c r="B25" t="s">
        <v>55</v>
      </c>
      <c r="C25">
        <v>0</v>
      </c>
      <c r="D25">
        <v>0</v>
      </c>
      <c r="E25" s="1">
        <v>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1">
        <v>4</v>
      </c>
      <c r="M25">
        <v>0</v>
      </c>
      <c r="N25">
        <v>0</v>
      </c>
      <c r="O25" s="1">
        <v>3</v>
      </c>
      <c r="P25">
        <v>0</v>
      </c>
      <c r="Q25">
        <v>0</v>
      </c>
      <c r="R25">
        <v>0</v>
      </c>
      <c r="S25">
        <v>0</v>
      </c>
      <c r="T25" s="1">
        <v>3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 s="1">
        <v>5</v>
      </c>
      <c r="AB25">
        <v>0</v>
      </c>
      <c r="AC25">
        <v>0</v>
      </c>
      <c r="AD25">
        <v>87</v>
      </c>
      <c r="AE25" s="4">
        <f t="shared" si="0"/>
        <v>264</v>
      </c>
      <c r="AF25" s="4">
        <f t="shared" si="1"/>
        <v>125.1</v>
      </c>
    </row>
    <row r="26" spans="1:32" x14ac:dyDescent="0.35">
      <c r="A26">
        <v>5</v>
      </c>
      <c r="B26" t="s">
        <v>56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1">
        <v>2</v>
      </c>
      <c r="J26">
        <v>0</v>
      </c>
      <c r="K26">
        <v>0</v>
      </c>
      <c r="L26">
        <v>0</v>
      </c>
      <c r="M26">
        <v>0</v>
      </c>
      <c r="N26" s="1">
        <v>5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1">
        <v>3</v>
      </c>
      <c r="V26" s="1">
        <v>3</v>
      </c>
      <c r="W26">
        <v>0</v>
      </c>
      <c r="X26">
        <v>0</v>
      </c>
      <c r="Y26">
        <v>0</v>
      </c>
      <c r="Z26">
        <v>0</v>
      </c>
      <c r="AA26" s="1">
        <v>5</v>
      </c>
      <c r="AB26">
        <v>0</v>
      </c>
      <c r="AC26">
        <v>0</v>
      </c>
      <c r="AD26">
        <v>85.5</v>
      </c>
      <c r="AE26" s="4">
        <f t="shared" si="0"/>
        <v>277.2</v>
      </c>
      <c r="AF26" s="4">
        <f t="shared" si="1"/>
        <v>111.89999999999999</v>
      </c>
    </row>
    <row r="27" spans="1:32" x14ac:dyDescent="0.35">
      <c r="A27">
        <v>6</v>
      </c>
      <c r="B27" t="s">
        <v>57</v>
      </c>
      <c r="C27">
        <v>0</v>
      </c>
      <c r="D27" s="2">
        <v>4</v>
      </c>
      <c r="E27" s="2">
        <v>4</v>
      </c>
      <c r="F27">
        <v>0</v>
      </c>
      <c r="G27">
        <v>0</v>
      </c>
      <c r="H27">
        <v>0</v>
      </c>
      <c r="I27">
        <v>0</v>
      </c>
      <c r="J27" s="2">
        <v>2</v>
      </c>
      <c r="K27" s="2">
        <v>4</v>
      </c>
      <c r="L27">
        <v>0</v>
      </c>
      <c r="M27" s="2">
        <v>4</v>
      </c>
      <c r="N27">
        <v>0</v>
      </c>
      <c r="O27" s="2">
        <v>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 s="2">
        <v>5</v>
      </c>
      <c r="AB27">
        <v>0</v>
      </c>
      <c r="AC27">
        <v>0</v>
      </c>
      <c r="AD27">
        <v>97.5</v>
      </c>
      <c r="AE27" s="4">
        <f t="shared" si="0"/>
        <v>224.39999999999998</v>
      </c>
      <c r="AF27" s="4">
        <f t="shared" si="1"/>
        <v>137.1</v>
      </c>
    </row>
    <row r="28" spans="1:32" x14ac:dyDescent="0.35">
      <c r="A28">
        <v>6</v>
      </c>
      <c r="B28" t="s">
        <v>58</v>
      </c>
      <c r="C28">
        <v>0</v>
      </c>
      <c r="D28" s="2">
        <v>4</v>
      </c>
      <c r="E28">
        <v>0</v>
      </c>
      <c r="F28">
        <v>0</v>
      </c>
      <c r="G28">
        <v>0</v>
      </c>
      <c r="H28">
        <v>0</v>
      </c>
      <c r="I28">
        <v>0</v>
      </c>
      <c r="J28" s="2">
        <v>2</v>
      </c>
      <c r="K28">
        <v>0</v>
      </c>
      <c r="L28">
        <v>0</v>
      </c>
      <c r="M28" s="2">
        <v>4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2">
        <v>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 s="2">
        <v>5</v>
      </c>
      <c r="AB28">
        <v>0</v>
      </c>
      <c r="AC28">
        <v>0</v>
      </c>
      <c r="AD28">
        <v>85.5</v>
      </c>
      <c r="AE28" s="4">
        <f t="shared" si="0"/>
        <v>264</v>
      </c>
      <c r="AF28" s="4">
        <f t="shared" si="1"/>
        <v>126.6</v>
      </c>
    </row>
    <row r="29" spans="1:32" x14ac:dyDescent="0.35">
      <c r="A29">
        <v>6</v>
      </c>
      <c r="B29" t="s">
        <v>59</v>
      </c>
      <c r="C29">
        <v>0</v>
      </c>
      <c r="D29">
        <v>0</v>
      </c>
      <c r="E29" s="2">
        <v>4</v>
      </c>
      <c r="F29">
        <v>0</v>
      </c>
      <c r="G29">
        <v>0</v>
      </c>
      <c r="H29" s="2">
        <v>2</v>
      </c>
      <c r="I29" s="2">
        <v>2</v>
      </c>
      <c r="J29">
        <v>0</v>
      </c>
      <c r="K29" s="2">
        <v>4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 s="2">
        <v>5</v>
      </c>
      <c r="AB29">
        <v>0</v>
      </c>
      <c r="AC29">
        <v>0</v>
      </c>
      <c r="AD29">
        <v>84</v>
      </c>
      <c r="AE29" s="4">
        <f t="shared" si="0"/>
        <v>224.39999999999998</v>
      </c>
      <c r="AF29" s="4">
        <f t="shared" si="1"/>
        <v>128.1</v>
      </c>
    </row>
    <row r="30" spans="1:32" x14ac:dyDescent="0.35">
      <c r="A30">
        <v>6</v>
      </c>
      <c r="B30" t="s">
        <v>60</v>
      </c>
      <c r="C30">
        <v>0</v>
      </c>
      <c r="D30">
        <v>0</v>
      </c>
      <c r="E30">
        <v>0</v>
      </c>
      <c r="F30">
        <v>0</v>
      </c>
      <c r="G30">
        <v>0</v>
      </c>
      <c r="H30" s="2">
        <v>2</v>
      </c>
      <c r="I30">
        <v>0</v>
      </c>
      <c r="J30" s="2">
        <v>3</v>
      </c>
      <c r="K30" s="2">
        <v>4</v>
      </c>
      <c r="L30">
        <v>0</v>
      </c>
      <c r="M30">
        <v>0</v>
      </c>
      <c r="N30">
        <v>0</v>
      </c>
      <c r="O30" s="2">
        <v>3</v>
      </c>
      <c r="P30">
        <v>0</v>
      </c>
      <c r="Q30" s="2">
        <v>3</v>
      </c>
      <c r="R30">
        <v>0</v>
      </c>
      <c r="S30">
        <v>0</v>
      </c>
      <c r="T30" s="2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 s="2">
        <v>5</v>
      </c>
      <c r="AB30">
        <v>0</v>
      </c>
      <c r="AC30">
        <v>0</v>
      </c>
      <c r="AD30">
        <v>93</v>
      </c>
      <c r="AE30" s="4">
        <f t="shared" si="0"/>
        <v>277.2</v>
      </c>
      <c r="AF30" s="4">
        <f t="shared" si="1"/>
        <v>122.39999999999999</v>
      </c>
    </row>
    <row r="31" spans="1:32" x14ac:dyDescent="0.35">
      <c r="A31">
        <v>6</v>
      </c>
      <c r="B31" t="s">
        <v>61</v>
      </c>
      <c r="C31">
        <v>0</v>
      </c>
      <c r="D31">
        <v>0</v>
      </c>
      <c r="E31">
        <v>0</v>
      </c>
      <c r="F31">
        <v>0</v>
      </c>
      <c r="G31">
        <v>0</v>
      </c>
      <c r="H31" s="2">
        <v>2</v>
      </c>
      <c r="I31">
        <v>0</v>
      </c>
      <c r="J31">
        <v>0</v>
      </c>
      <c r="K31">
        <v>0</v>
      </c>
      <c r="L31">
        <v>0</v>
      </c>
      <c r="M31">
        <v>0</v>
      </c>
      <c r="N31" s="2">
        <v>5</v>
      </c>
      <c r="O31">
        <v>0</v>
      </c>
      <c r="P31">
        <v>0</v>
      </c>
      <c r="Q31" s="2">
        <v>3</v>
      </c>
      <c r="R31">
        <v>0</v>
      </c>
      <c r="S31">
        <v>0</v>
      </c>
      <c r="T31">
        <v>0</v>
      </c>
      <c r="U31">
        <v>0</v>
      </c>
      <c r="V31" s="2">
        <v>3</v>
      </c>
      <c r="W31">
        <v>0</v>
      </c>
      <c r="X31">
        <v>0</v>
      </c>
      <c r="Y31">
        <v>0</v>
      </c>
      <c r="Z31">
        <v>0</v>
      </c>
      <c r="AA31" s="2">
        <v>5</v>
      </c>
      <c r="AB31">
        <v>0</v>
      </c>
      <c r="AC31">
        <v>0</v>
      </c>
      <c r="AD31">
        <v>85.5</v>
      </c>
      <c r="AE31" s="4">
        <f t="shared" si="0"/>
        <v>277.2</v>
      </c>
      <c r="AF31" s="4">
        <f t="shared" si="1"/>
        <v>111.89999999999999</v>
      </c>
    </row>
    <row r="32" spans="1:32" x14ac:dyDescent="0.35">
      <c r="A32">
        <v>7</v>
      </c>
      <c r="B32" t="s">
        <v>62</v>
      </c>
      <c r="C32">
        <v>0</v>
      </c>
      <c r="D32" s="2">
        <v>4</v>
      </c>
      <c r="E32" s="2">
        <v>4</v>
      </c>
      <c r="F32" s="2">
        <v>4</v>
      </c>
      <c r="G32" s="2">
        <v>2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 s="2">
        <v>3</v>
      </c>
      <c r="S32" s="2">
        <v>3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 s="2">
        <v>5</v>
      </c>
      <c r="AB32">
        <v>0</v>
      </c>
      <c r="AC32">
        <v>0</v>
      </c>
      <c r="AD32">
        <v>96</v>
      </c>
      <c r="AE32" s="4">
        <f t="shared" si="0"/>
        <v>264</v>
      </c>
      <c r="AF32" s="4">
        <f t="shared" si="1"/>
        <v>99</v>
      </c>
    </row>
    <row r="33" spans="1:32" x14ac:dyDescent="0.35">
      <c r="A33">
        <v>7</v>
      </c>
      <c r="B33" t="s">
        <v>63</v>
      </c>
      <c r="C33">
        <v>0</v>
      </c>
      <c r="D33">
        <v>0</v>
      </c>
      <c r="E33" s="2">
        <v>4</v>
      </c>
      <c r="F33">
        <v>0</v>
      </c>
      <c r="G33">
        <v>0</v>
      </c>
      <c r="H33" s="2">
        <v>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s="2">
        <v>3</v>
      </c>
      <c r="P33" s="2">
        <v>3</v>
      </c>
      <c r="Q33">
        <v>0</v>
      </c>
      <c r="R33">
        <v>0</v>
      </c>
      <c r="S33">
        <v>0</v>
      </c>
      <c r="T33">
        <v>0</v>
      </c>
      <c r="U33">
        <v>0</v>
      </c>
      <c r="V33" s="2">
        <v>3</v>
      </c>
      <c r="W33">
        <v>0</v>
      </c>
      <c r="X33">
        <v>0</v>
      </c>
      <c r="Y33">
        <v>0</v>
      </c>
      <c r="Z33">
        <v>0</v>
      </c>
      <c r="AA33" s="2">
        <v>5</v>
      </c>
      <c r="AB33">
        <v>0</v>
      </c>
      <c r="AC33">
        <v>0</v>
      </c>
      <c r="AD33">
        <v>88.5</v>
      </c>
      <c r="AE33" s="4">
        <f t="shared" si="0"/>
        <v>250.79999999999998</v>
      </c>
      <c r="AF33" s="4">
        <f t="shared" si="1"/>
        <v>91.5</v>
      </c>
    </row>
    <row r="34" spans="1:32" x14ac:dyDescent="0.35">
      <c r="A34">
        <v>7</v>
      </c>
      <c r="B34" t="s">
        <v>64</v>
      </c>
      <c r="C34">
        <v>0</v>
      </c>
      <c r="D34">
        <v>0</v>
      </c>
      <c r="E34">
        <v>0</v>
      </c>
      <c r="F34">
        <v>0</v>
      </c>
      <c r="G34" s="2">
        <v>2</v>
      </c>
      <c r="H34">
        <v>0</v>
      </c>
      <c r="I34">
        <v>0</v>
      </c>
      <c r="J34" s="2">
        <v>3</v>
      </c>
      <c r="K34" s="2">
        <v>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2">
        <v>3</v>
      </c>
      <c r="U34">
        <v>0</v>
      </c>
      <c r="V34" s="2">
        <v>3</v>
      </c>
      <c r="W34">
        <v>0</v>
      </c>
      <c r="X34">
        <v>0</v>
      </c>
      <c r="Y34">
        <v>0</v>
      </c>
      <c r="Z34">
        <v>0</v>
      </c>
      <c r="AA34" s="2">
        <v>5</v>
      </c>
      <c r="AB34">
        <v>0</v>
      </c>
      <c r="AC34">
        <v>0</v>
      </c>
      <c r="AD34">
        <v>88.5</v>
      </c>
      <c r="AE34" s="4">
        <f t="shared" ref="AE34:AE65" si="2">13.2*(MAX(IF(ISNUMBER(SEARCH(";0;",";"&amp;$B34&amp;";")),10,0),IF(ISNUMBER(SEARCH(";1;",";"&amp;$B34&amp;";")),9,0),IF(ISNUMBER(SEARCH(";2;",";"&amp;$B34&amp;";")),9,0),IF(ISNUMBER(SEARCH(";3;",";"&amp;$B34&amp;";")),10,0),IF(ISNUMBER(SEARCH(";4;",";"&amp;$B34&amp;";")),8,0),IF(ISNUMBER(SEARCH(";5;",";"&amp;$B34&amp;";")),8,0),IF(ISNUMBER(SEARCH(";6;",";"&amp;$B34&amp;";")),8,0),IF(ISNUMBER(SEARCH(";7;",";"&amp;$B34&amp;";")),9,0))+MAX(IF(ISNUMBER(SEARCH(";8;",";"&amp;$B34&amp;";")),8,0),IF(ISNUMBER(SEARCH(";9;",";"&amp;$B34&amp;";")),7,0),IF(ISNUMBER(SEARCH(";10;",";"&amp;$B34&amp;";")),7,0),IF(ISNUMBER(SEARCH(";11;",";"&amp;$B34&amp;";")),8,0),IF(ISNUMBER(SEARCH(";12;",";"&amp;$B34&amp;";")),5,0),IF(ISNUMBER(SEARCH(";13;",";"&amp;$B34&amp;";")),4,0),IF(ISNUMBER(SEARCH(";14;",";"&amp;$B34&amp;";")),4,0),IF(ISNUMBER(SEARCH(";15;",";"&amp;$B34&amp;";")),5,0))+MAX(IF(ISNUMBER(SEARCH(";16;",";"&amp;$B34&amp;";")),5,0),IF(ISNUMBER(SEARCH(";17;",";"&amp;$B34&amp;";")),4,0),IF(ISNUMBER(SEARCH(";18;",";"&amp;$B34&amp;";")),4,0),IF(ISNUMBER(SEARCH(";19;",";"&amp;$B34&amp;";")),5,0),IF(ISNUMBER(SEARCH(";20;",";"&amp;$B34&amp;";")),0,0),IF(ISNUMBER(SEARCH(";21;",";"&amp;$B34&amp;";")),0,0),IF(ISNUMBER(SEARCH(";22;",";"&amp;$B34&amp;";")),0,0),IF(ISNUMBER(SEARCH(";23;",";"&amp;$B34&amp;";")),0,0)))</f>
        <v>290.39999999999998</v>
      </c>
      <c r="AF34" s="4">
        <f t="shared" ref="AF34:AF65" si="3">13.2*(MAX(IF(ISNUMBER(SEARCH(";0;",";"&amp;$B34&amp;";")),5,0),IF(ISNUMBER(SEARCH(";1;",";"&amp;$B34&amp;";")),5,0),IF(ISNUMBER(SEARCH(";2;",";"&amp;$B34&amp;";")),5,0),IF(ISNUMBER(SEARCH(";3;",";"&amp;$B34&amp;";")),5,0),IF(ISNUMBER(SEARCH(";4;",";"&amp;$B34&amp;";")),4,0),IF(ISNUMBER(SEARCH(";5;",";"&amp;$B34&amp;";")),4,0),IF(ISNUMBER(SEARCH(";6;",";"&amp;$B34&amp;";")),4,0),IF(ISNUMBER(SEARCH(";7;",";"&amp;$B34&amp;";")),4,0))+MAX(IF(ISNUMBER(SEARCH(";8;",";"&amp;$B34&amp;";")),3,0),IF(ISNUMBER(SEARCH(";9;",";"&amp;$B34&amp;";")),3,0),IF(ISNUMBER(SEARCH(";10;",";"&amp;$B34&amp;";")),3,0),IF(ISNUMBER(SEARCH(";11;",";"&amp;$B34&amp;";")),3,0),IF(ISNUMBER(SEARCH(";12;",";"&amp;$B34&amp;";")),0,0),IF(ISNUMBER(SEARCH(";13;",";"&amp;$B34&amp;";")),0,0),IF(ISNUMBER(SEARCH(";14;",";"&amp;$B34&amp;";")),0,0),IF(ISNUMBER(SEARCH(";15;",";"&amp;$B34&amp;";")),0,0))+MAX(IF(ISNUMBER(SEARCH(";16;",";"&amp;$B34&amp;";")),0,0),IF(ISNUMBER(SEARCH(";17;",";"&amp;$B34&amp;";")),0,0),IF(ISNUMBER(SEARCH(";18;",";"&amp;$B34&amp;";")),0,0),IF(ISNUMBER(SEARCH(";19;",";"&amp;$B34&amp;";")),0,0),IF(ISNUMBER(SEARCH(";20;",";"&amp;$B34&amp;";")),0,0),IF(ISNUMBER(SEARCH(";21;",";"&amp;$B34&amp;";")),0,0),IF(ISNUMBER(SEARCH(";22;",";"&amp;$B34&amp;";")),0,0),IF(ISNUMBER(SEARCH(";23;",";"&amp;$B34&amp;";")),0,0)))+1.5*(IF(ISNUMBER(SEARCH(";0;",";"&amp;$B34&amp;";")),4,0)+IF(ISNUMBER(SEARCH(";1;",";"&amp;$B34&amp;";")),4,0)+IF(ISNUMBER(SEARCH(";2;",";"&amp;$B34&amp;";")),4,0)+IF(ISNUMBER(SEARCH(";3;",";"&amp;$B34&amp;";")),4,0)+IF(ISNUMBER(SEARCH(";4;",";"&amp;$B34&amp;";")),4,0)+IF(ISNUMBER(SEARCH(";5;",";"&amp;$B34&amp;";")),4,0)+IF(ISNUMBER(SEARCH(";6;",";"&amp;$B34&amp;";")),4,0)+IF(ISNUMBER(SEARCH(";7;",";"&amp;$B34&amp;";")),4,0)+IF(ISNUMBER(SEARCH(";8;",";"&amp;$B34&amp;";")),3,0)+IF(ISNUMBER(SEARCH(";9;",";"&amp;$B34&amp;";")),3,0)+IF(ISNUMBER(SEARCH(";10;",";"&amp;$B34&amp;";")),3,0)+IF(ISNUMBER(SEARCH(";11;",";"&amp;$B34&amp;";")),3,0)+IF(ISNUMBER(SEARCH(";12;",";"&amp;$B34&amp;";")),3,0)+IF(ISNUMBER(SEARCH(";13;",";"&amp;$B34&amp;";")),3,0)+IF(ISNUMBER(SEARCH(";14;",";"&amp;$B34&amp;";")),3,0)+IF(ISNUMBER(SEARCH(";15;",";"&amp;$B34&amp;";")),3,0)+IF(ISNUMBER(SEARCH(";16;",";"&amp;$B34&amp;";")),3,0)+IF(ISNUMBER(SEARCH(";17;",";"&amp;$B34&amp;";")),3,0)+IF(ISNUMBER(SEARCH(";18;",";"&amp;$B34&amp;";")),3,0)+IF(ISNUMBER(SEARCH(";19;",";"&amp;$B34&amp;";")),3,0)+IF(ISNUMBER(SEARCH(";20;",";"&amp;$B34&amp;";")),0,0)+IF(ISNUMBER(SEARCH(";21;",";"&amp;$B34&amp;";")),0,0)+IF(ISNUMBER(SEARCH(";22;",";"&amp;$B34&amp;";")),0,0)+IF(ISNUMBER(SEARCH(";23;",";"&amp;$B34&amp;";")),0,0))</f>
        <v>117.89999999999999</v>
      </c>
    </row>
    <row r="35" spans="1:32" x14ac:dyDescent="0.35">
      <c r="A35">
        <v>7</v>
      </c>
      <c r="B35" t="s">
        <v>65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2">
        <v>2</v>
      </c>
      <c r="J35">
        <v>0</v>
      </c>
      <c r="K35">
        <v>0</v>
      </c>
      <c r="L35">
        <v>0</v>
      </c>
      <c r="M35" s="2">
        <v>4</v>
      </c>
      <c r="N35">
        <v>0</v>
      </c>
      <c r="O35" s="2">
        <v>3</v>
      </c>
      <c r="P35">
        <v>0</v>
      </c>
      <c r="Q35" s="2">
        <v>3</v>
      </c>
      <c r="R35" s="2">
        <v>3</v>
      </c>
      <c r="S35">
        <v>0</v>
      </c>
      <c r="T35">
        <v>0</v>
      </c>
      <c r="U35" s="2">
        <v>3</v>
      </c>
      <c r="V35">
        <v>0</v>
      </c>
      <c r="W35">
        <v>0</v>
      </c>
      <c r="X35">
        <v>0</v>
      </c>
      <c r="Y35">
        <v>0</v>
      </c>
      <c r="Z35">
        <v>0</v>
      </c>
      <c r="AA35" s="2">
        <v>5</v>
      </c>
      <c r="AB35">
        <v>0</v>
      </c>
      <c r="AC35">
        <v>0</v>
      </c>
      <c r="AD35">
        <v>93</v>
      </c>
      <c r="AE35" s="4">
        <f t="shared" si="2"/>
        <v>250.79999999999998</v>
      </c>
      <c r="AF35" s="4">
        <f t="shared" si="3"/>
        <v>120.89999999999999</v>
      </c>
    </row>
    <row r="36" spans="1:32" x14ac:dyDescent="0.35">
      <c r="A36">
        <v>7</v>
      </c>
      <c r="B36" t="s">
        <v>66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s="2">
        <v>3</v>
      </c>
      <c r="K36">
        <v>0</v>
      </c>
      <c r="L36">
        <v>0</v>
      </c>
      <c r="M36">
        <v>0</v>
      </c>
      <c r="N36" s="2">
        <v>5</v>
      </c>
      <c r="O36" s="2">
        <v>3</v>
      </c>
      <c r="P36" s="2">
        <v>3</v>
      </c>
      <c r="Q36">
        <v>0</v>
      </c>
      <c r="R36">
        <v>0</v>
      </c>
      <c r="S36">
        <v>0</v>
      </c>
      <c r="T36">
        <v>0</v>
      </c>
      <c r="U36" s="2">
        <v>3</v>
      </c>
      <c r="V36">
        <v>0</v>
      </c>
      <c r="W36">
        <v>0</v>
      </c>
      <c r="X36">
        <v>0</v>
      </c>
      <c r="Y36">
        <v>0</v>
      </c>
      <c r="Z36">
        <v>0</v>
      </c>
      <c r="AA36" s="2">
        <v>5</v>
      </c>
      <c r="AB36">
        <v>0</v>
      </c>
      <c r="AC36">
        <v>0</v>
      </c>
      <c r="AD36">
        <v>91.5</v>
      </c>
      <c r="AE36" s="4">
        <f t="shared" si="2"/>
        <v>277.2</v>
      </c>
      <c r="AF36" s="4">
        <f t="shared" si="3"/>
        <v>116.39999999999999</v>
      </c>
    </row>
    <row r="37" spans="1:32" x14ac:dyDescent="0.35">
      <c r="A37">
        <v>8</v>
      </c>
      <c r="B37" t="s">
        <v>67</v>
      </c>
      <c r="C37" s="2">
        <v>4</v>
      </c>
      <c r="D37">
        <v>0</v>
      </c>
      <c r="E37">
        <v>0</v>
      </c>
      <c r="F37" s="2">
        <v>4</v>
      </c>
      <c r="G37">
        <v>0</v>
      </c>
      <c r="H37" s="2">
        <v>2</v>
      </c>
      <c r="I37">
        <v>0</v>
      </c>
      <c r="J37">
        <v>0</v>
      </c>
      <c r="K37" s="2">
        <v>4</v>
      </c>
      <c r="L37">
        <v>0</v>
      </c>
      <c r="M37">
        <v>0</v>
      </c>
      <c r="N37">
        <v>0</v>
      </c>
      <c r="O37">
        <v>0</v>
      </c>
      <c r="P37">
        <v>0</v>
      </c>
      <c r="Q37" s="2">
        <v>3</v>
      </c>
      <c r="R37">
        <v>0</v>
      </c>
      <c r="S37" s="2">
        <v>3</v>
      </c>
      <c r="T37">
        <v>0</v>
      </c>
      <c r="U37">
        <v>0</v>
      </c>
      <c r="V37" s="2">
        <v>3</v>
      </c>
      <c r="W37">
        <v>0</v>
      </c>
      <c r="X37">
        <v>0</v>
      </c>
      <c r="Y37">
        <v>0</v>
      </c>
      <c r="Z37">
        <v>0</v>
      </c>
      <c r="AA37" s="2">
        <v>5</v>
      </c>
      <c r="AB37">
        <v>0</v>
      </c>
      <c r="AC37">
        <v>0</v>
      </c>
      <c r="AD37">
        <v>100.5</v>
      </c>
      <c r="AE37" s="4">
        <f t="shared" si="2"/>
        <v>303.59999999999997</v>
      </c>
      <c r="AF37" s="4">
        <f t="shared" si="3"/>
        <v>141.6</v>
      </c>
    </row>
    <row r="38" spans="1:32" x14ac:dyDescent="0.35">
      <c r="A38">
        <v>8</v>
      </c>
      <c r="B38" t="s">
        <v>68</v>
      </c>
      <c r="C38" s="3">
        <v>4</v>
      </c>
      <c r="D38">
        <v>0</v>
      </c>
      <c r="E38">
        <v>0</v>
      </c>
      <c r="F38" s="3">
        <v>4</v>
      </c>
      <c r="G38">
        <v>0</v>
      </c>
      <c r="H38">
        <v>0</v>
      </c>
      <c r="I38">
        <v>0</v>
      </c>
      <c r="J38">
        <v>0</v>
      </c>
      <c r="K38" s="3">
        <v>4</v>
      </c>
      <c r="L38">
        <v>0</v>
      </c>
      <c r="M38">
        <v>0</v>
      </c>
      <c r="N38">
        <v>0</v>
      </c>
      <c r="O38" s="3">
        <v>3</v>
      </c>
      <c r="P38">
        <v>0</v>
      </c>
      <c r="Q38" s="3">
        <v>3</v>
      </c>
      <c r="R38">
        <v>0</v>
      </c>
      <c r="S38" s="3">
        <v>3</v>
      </c>
      <c r="T38" s="3">
        <v>3</v>
      </c>
      <c r="U38">
        <v>0</v>
      </c>
      <c r="V38" s="3">
        <v>3</v>
      </c>
      <c r="W38">
        <v>0</v>
      </c>
      <c r="X38">
        <v>0</v>
      </c>
      <c r="Y38">
        <v>0</v>
      </c>
      <c r="Z38">
        <v>0</v>
      </c>
      <c r="AA38" s="3">
        <v>5</v>
      </c>
      <c r="AB38">
        <v>0</v>
      </c>
      <c r="AC38">
        <v>0</v>
      </c>
      <c r="AD38">
        <v>106.5</v>
      </c>
      <c r="AE38" s="4">
        <f t="shared" si="2"/>
        <v>303.59999999999997</v>
      </c>
      <c r="AF38" s="4">
        <f t="shared" si="3"/>
        <v>144.6</v>
      </c>
    </row>
    <row r="39" spans="1:32" x14ac:dyDescent="0.35">
      <c r="A39">
        <v>8</v>
      </c>
      <c r="B39" t="s">
        <v>69</v>
      </c>
      <c r="C39" s="3">
        <v>4</v>
      </c>
      <c r="D39">
        <v>0</v>
      </c>
      <c r="E39">
        <v>0</v>
      </c>
      <c r="F39">
        <v>0</v>
      </c>
      <c r="G39">
        <v>0</v>
      </c>
      <c r="H39" s="3">
        <v>2</v>
      </c>
      <c r="I39">
        <v>0</v>
      </c>
      <c r="J39">
        <v>0</v>
      </c>
      <c r="K39">
        <v>0</v>
      </c>
      <c r="L39">
        <v>0</v>
      </c>
      <c r="M39" s="3">
        <v>4</v>
      </c>
      <c r="N39">
        <v>0</v>
      </c>
      <c r="O39">
        <v>0</v>
      </c>
      <c r="P39">
        <v>0</v>
      </c>
      <c r="Q39">
        <v>0</v>
      </c>
      <c r="R39" s="3">
        <v>3</v>
      </c>
      <c r="S39" s="3">
        <v>3</v>
      </c>
      <c r="T39" s="3">
        <v>3</v>
      </c>
      <c r="U39">
        <v>0</v>
      </c>
      <c r="V39" s="3">
        <v>3</v>
      </c>
      <c r="W39">
        <v>0</v>
      </c>
      <c r="X39">
        <v>0</v>
      </c>
      <c r="Y39">
        <v>0</v>
      </c>
      <c r="Z39">
        <v>0</v>
      </c>
      <c r="AA39" s="3">
        <v>5</v>
      </c>
      <c r="AB39">
        <v>0</v>
      </c>
      <c r="AC39">
        <v>0</v>
      </c>
      <c r="AD39">
        <v>99</v>
      </c>
      <c r="AE39" s="4">
        <f t="shared" si="2"/>
        <v>290.39999999999998</v>
      </c>
      <c r="AF39" s="4">
        <f t="shared" si="3"/>
        <v>140.1</v>
      </c>
    </row>
    <row r="40" spans="1:32" x14ac:dyDescent="0.35">
      <c r="A40">
        <v>8</v>
      </c>
      <c r="B40" t="s">
        <v>70</v>
      </c>
      <c r="C40">
        <v>0</v>
      </c>
      <c r="D40">
        <v>0</v>
      </c>
      <c r="E40">
        <v>0</v>
      </c>
      <c r="F40" s="3">
        <v>4</v>
      </c>
      <c r="G40">
        <v>0</v>
      </c>
      <c r="H40">
        <v>0</v>
      </c>
      <c r="I40">
        <v>0</v>
      </c>
      <c r="J40">
        <v>0</v>
      </c>
      <c r="K40" s="3">
        <v>4</v>
      </c>
      <c r="L40" s="3">
        <v>4</v>
      </c>
      <c r="M40" s="3">
        <v>4</v>
      </c>
      <c r="N40">
        <v>0</v>
      </c>
      <c r="O40">
        <v>0</v>
      </c>
      <c r="P40" s="3">
        <v>3</v>
      </c>
      <c r="Q40">
        <v>0</v>
      </c>
      <c r="R40">
        <v>0</v>
      </c>
      <c r="S40">
        <v>0</v>
      </c>
      <c r="T40" s="3">
        <v>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 s="3">
        <v>5</v>
      </c>
      <c r="AB40">
        <v>0</v>
      </c>
      <c r="AC40">
        <v>0</v>
      </c>
      <c r="AD40">
        <v>99</v>
      </c>
      <c r="AE40" s="4">
        <f t="shared" si="2"/>
        <v>290.39999999999998</v>
      </c>
      <c r="AF40" s="4">
        <f t="shared" si="3"/>
        <v>134.1</v>
      </c>
    </row>
    <row r="41" spans="1:32" x14ac:dyDescent="0.35">
      <c r="A41">
        <v>8</v>
      </c>
      <c r="B41" t="s">
        <v>71</v>
      </c>
      <c r="C41">
        <v>0</v>
      </c>
      <c r="D41">
        <v>0</v>
      </c>
      <c r="E41">
        <v>0</v>
      </c>
      <c r="F41">
        <v>0</v>
      </c>
      <c r="G41" s="3">
        <v>2</v>
      </c>
      <c r="H41">
        <v>0</v>
      </c>
      <c r="I41" s="3">
        <v>2</v>
      </c>
      <c r="J41">
        <v>0</v>
      </c>
      <c r="K41">
        <v>0</v>
      </c>
      <c r="L41" s="3">
        <v>4</v>
      </c>
      <c r="M41">
        <v>0</v>
      </c>
      <c r="N41" s="3">
        <v>5</v>
      </c>
      <c r="O41">
        <v>0</v>
      </c>
      <c r="P41">
        <v>0</v>
      </c>
      <c r="Q41">
        <v>0</v>
      </c>
      <c r="R41">
        <v>0</v>
      </c>
      <c r="S41" s="3">
        <v>3</v>
      </c>
      <c r="T41">
        <v>0</v>
      </c>
      <c r="U41">
        <v>0</v>
      </c>
      <c r="V41" s="3">
        <v>3</v>
      </c>
      <c r="W41">
        <v>0</v>
      </c>
      <c r="X41">
        <v>0</v>
      </c>
      <c r="Y41">
        <v>0</v>
      </c>
      <c r="Z41">
        <v>0</v>
      </c>
      <c r="AA41" s="3">
        <v>5</v>
      </c>
      <c r="AB41">
        <v>0</v>
      </c>
      <c r="AC41">
        <v>0</v>
      </c>
      <c r="AD41">
        <v>94.5</v>
      </c>
      <c r="AE41" s="4">
        <f t="shared" si="2"/>
        <v>277.2</v>
      </c>
      <c r="AF41" s="4">
        <f t="shared" si="3"/>
        <v>122.39999999999999</v>
      </c>
    </row>
    <row r="42" spans="1:32" x14ac:dyDescent="0.35">
      <c r="A42">
        <v>9</v>
      </c>
      <c r="B42" t="s">
        <v>72</v>
      </c>
      <c r="C42" s="3">
        <v>4</v>
      </c>
      <c r="D42" s="3">
        <v>4</v>
      </c>
      <c r="E42" s="3">
        <v>4</v>
      </c>
      <c r="F42">
        <v>0</v>
      </c>
      <c r="G42">
        <v>0</v>
      </c>
      <c r="H42">
        <v>0</v>
      </c>
      <c r="I42">
        <v>0</v>
      </c>
      <c r="J42" s="3">
        <v>3</v>
      </c>
      <c r="K42">
        <v>0</v>
      </c>
      <c r="L42">
        <v>0</v>
      </c>
      <c r="M42" s="3">
        <v>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3">
        <v>3</v>
      </c>
      <c r="V42">
        <v>0</v>
      </c>
      <c r="W42">
        <v>0</v>
      </c>
      <c r="X42">
        <v>0</v>
      </c>
      <c r="Y42">
        <v>0</v>
      </c>
      <c r="Z42">
        <v>0</v>
      </c>
      <c r="AA42" s="3">
        <v>5</v>
      </c>
      <c r="AB42">
        <v>0</v>
      </c>
      <c r="AC42">
        <v>0</v>
      </c>
      <c r="AD42">
        <v>99</v>
      </c>
      <c r="AE42" s="4">
        <f t="shared" si="2"/>
        <v>277.2</v>
      </c>
      <c r="AF42" s="4">
        <f t="shared" si="3"/>
        <v>138.6</v>
      </c>
    </row>
    <row r="43" spans="1:32" x14ac:dyDescent="0.35">
      <c r="A43">
        <v>9</v>
      </c>
      <c r="B43" t="s">
        <v>73</v>
      </c>
      <c r="C43" s="3">
        <v>4</v>
      </c>
      <c r="D43">
        <v>0</v>
      </c>
      <c r="E43" s="3">
        <v>4</v>
      </c>
      <c r="F43" s="3">
        <v>4</v>
      </c>
      <c r="G43">
        <v>0</v>
      </c>
      <c r="H43">
        <v>0</v>
      </c>
      <c r="I43">
        <v>0</v>
      </c>
      <c r="J43" s="3">
        <v>3</v>
      </c>
      <c r="K43">
        <v>0</v>
      </c>
      <c r="L43">
        <v>0</v>
      </c>
      <c r="M43" s="3">
        <v>4</v>
      </c>
      <c r="N43">
        <v>0</v>
      </c>
      <c r="O43">
        <v>0</v>
      </c>
      <c r="P43">
        <v>0</v>
      </c>
      <c r="Q43">
        <v>0</v>
      </c>
      <c r="R43">
        <v>0</v>
      </c>
      <c r="S43" s="3">
        <v>3</v>
      </c>
      <c r="T43" s="3">
        <v>3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 s="3">
        <v>5</v>
      </c>
      <c r="AB43">
        <v>0</v>
      </c>
      <c r="AC43">
        <v>0</v>
      </c>
      <c r="AD43">
        <v>103.5</v>
      </c>
      <c r="AE43" s="4">
        <f t="shared" si="2"/>
        <v>290.39999999999998</v>
      </c>
      <c r="AF43" s="4">
        <f t="shared" si="3"/>
        <v>143.1</v>
      </c>
    </row>
    <row r="44" spans="1:32" x14ac:dyDescent="0.35">
      <c r="A44">
        <v>9</v>
      </c>
      <c r="B44" t="s">
        <v>74</v>
      </c>
      <c r="C44">
        <v>0</v>
      </c>
      <c r="D44" s="3">
        <v>4</v>
      </c>
      <c r="E44" s="3">
        <v>4</v>
      </c>
      <c r="F44" s="3">
        <v>4</v>
      </c>
      <c r="G44">
        <v>0</v>
      </c>
      <c r="H44">
        <v>0</v>
      </c>
      <c r="I44">
        <v>0</v>
      </c>
      <c r="J44" s="3">
        <v>3</v>
      </c>
      <c r="K44">
        <v>0</v>
      </c>
      <c r="L44" s="3">
        <v>4</v>
      </c>
      <c r="M44">
        <v>0</v>
      </c>
      <c r="N44" s="3">
        <v>5</v>
      </c>
      <c r="O44">
        <v>0</v>
      </c>
      <c r="P44">
        <v>0</v>
      </c>
      <c r="Q44">
        <v>0</v>
      </c>
      <c r="R44" s="3">
        <v>3</v>
      </c>
      <c r="S44">
        <v>0</v>
      </c>
      <c r="T44" s="3">
        <v>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 s="3">
        <v>5</v>
      </c>
      <c r="AB44">
        <v>0</v>
      </c>
      <c r="AC44">
        <v>0</v>
      </c>
      <c r="AD44">
        <v>111</v>
      </c>
      <c r="AE44" s="4">
        <f t="shared" si="2"/>
        <v>290.39999999999998</v>
      </c>
      <c r="AF44" s="4">
        <f t="shared" si="3"/>
        <v>147.6</v>
      </c>
    </row>
    <row r="45" spans="1:32" x14ac:dyDescent="0.35">
      <c r="A45">
        <v>9</v>
      </c>
      <c r="B45" t="s">
        <v>75</v>
      </c>
      <c r="C45">
        <v>0</v>
      </c>
      <c r="D45">
        <v>0</v>
      </c>
      <c r="E45" s="3">
        <v>4</v>
      </c>
      <c r="F45">
        <v>0</v>
      </c>
      <c r="G45" s="3">
        <v>2</v>
      </c>
      <c r="H45" s="3">
        <v>2</v>
      </c>
      <c r="I45">
        <v>0</v>
      </c>
      <c r="J45">
        <v>0</v>
      </c>
      <c r="K45" s="3">
        <v>4</v>
      </c>
      <c r="L45">
        <v>0</v>
      </c>
      <c r="M45">
        <v>0</v>
      </c>
      <c r="N45">
        <v>0</v>
      </c>
      <c r="O45">
        <v>0</v>
      </c>
      <c r="P45" s="3">
        <v>3</v>
      </c>
      <c r="Q45">
        <v>0</v>
      </c>
      <c r="R45" s="3">
        <v>3</v>
      </c>
      <c r="S45">
        <v>0</v>
      </c>
      <c r="T45" s="3">
        <v>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 s="3">
        <v>5</v>
      </c>
      <c r="AB45">
        <v>0</v>
      </c>
      <c r="AC45">
        <v>0</v>
      </c>
      <c r="AD45">
        <v>97.5</v>
      </c>
      <c r="AE45" s="4">
        <f t="shared" si="2"/>
        <v>277.2</v>
      </c>
      <c r="AF45" s="4">
        <f t="shared" si="3"/>
        <v>141.6</v>
      </c>
    </row>
    <row r="46" spans="1:32" x14ac:dyDescent="0.35">
      <c r="A46">
        <v>9</v>
      </c>
      <c r="B46" t="s">
        <v>76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3">
        <v>2</v>
      </c>
      <c r="J46">
        <v>0</v>
      </c>
      <c r="K46">
        <v>0</v>
      </c>
      <c r="L46" s="3">
        <v>4</v>
      </c>
      <c r="M46">
        <v>0</v>
      </c>
      <c r="N46" s="3">
        <v>5</v>
      </c>
      <c r="O46" s="3">
        <v>3</v>
      </c>
      <c r="P46">
        <v>0</v>
      </c>
      <c r="Q46" s="3">
        <v>3</v>
      </c>
      <c r="R46">
        <v>0</v>
      </c>
      <c r="S46" s="3">
        <v>3</v>
      </c>
      <c r="T46" s="3">
        <v>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 s="3">
        <v>5</v>
      </c>
      <c r="AB46">
        <v>0</v>
      </c>
      <c r="AC46">
        <v>0</v>
      </c>
      <c r="AD46">
        <v>100.5</v>
      </c>
      <c r="AE46" s="4">
        <f t="shared" si="2"/>
        <v>277.2</v>
      </c>
      <c r="AF46" s="4">
        <f t="shared" si="3"/>
        <v>125.39999999999999</v>
      </c>
    </row>
    <row r="47" spans="1:32" x14ac:dyDescent="0.35">
      <c r="A47">
        <v>10</v>
      </c>
      <c r="B47" t="s">
        <v>77</v>
      </c>
      <c r="C47" s="3">
        <v>4</v>
      </c>
      <c r="D47" s="3">
        <v>4</v>
      </c>
      <c r="E47" s="3">
        <v>4</v>
      </c>
      <c r="F47" s="3">
        <v>4</v>
      </c>
      <c r="G47">
        <v>0</v>
      </c>
      <c r="H47">
        <v>0</v>
      </c>
      <c r="I47">
        <v>0</v>
      </c>
      <c r="J47" s="3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s="3">
        <v>3</v>
      </c>
      <c r="R47">
        <v>0</v>
      </c>
      <c r="S47" s="3">
        <v>3</v>
      </c>
      <c r="T47" s="3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 s="3">
        <v>5</v>
      </c>
      <c r="AB47">
        <v>0</v>
      </c>
      <c r="AC47">
        <v>0</v>
      </c>
      <c r="AD47">
        <v>108</v>
      </c>
      <c r="AE47" s="4">
        <f t="shared" si="2"/>
        <v>250.79999999999998</v>
      </c>
      <c r="AF47" s="4">
        <f t="shared" si="3"/>
        <v>109.5</v>
      </c>
    </row>
    <row r="48" spans="1:32" x14ac:dyDescent="0.35">
      <c r="A48">
        <v>10</v>
      </c>
      <c r="B48" t="s">
        <v>78</v>
      </c>
      <c r="C48">
        <v>0</v>
      </c>
      <c r="D48" s="3">
        <v>4</v>
      </c>
      <c r="E48">
        <v>0</v>
      </c>
      <c r="F48" s="3">
        <v>4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3">
        <v>4</v>
      </c>
      <c r="N48">
        <v>0</v>
      </c>
      <c r="O48" s="3">
        <v>3</v>
      </c>
      <c r="P48">
        <v>0</v>
      </c>
      <c r="Q48">
        <v>0</v>
      </c>
      <c r="R48" s="3">
        <v>3</v>
      </c>
      <c r="S48">
        <v>0</v>
      </c>
      <c r="T48">
        <v>0</v>
      </c>
      <c r="U48">
        <v>0</v>
      </c>
      <c r="V48" s="3">
        <v>3</v>
      </c>
      <c r="W48">
        <v>0</v>
      </c>
      <c r="X48">
        <v>0</v>
      </c>
      <c r="Y48">
        <v>0</v>
      </c>
      <c r="Z48">
        <v>0</v>
      </c>
      <c r="AA48" s="3">
        <v>5</v>
      </c>
      <c r="AB48">
        <v>0</v>
      </c>
      <c r="AC48">
        <v>0</v>
      </c>
      <c r="AD48">
        <v>97.5</v>
      </c>
      <c r="AE48" s="4">
        <f t="shared" si="2"/>
        <v>290.39999999999998</v>
      </c>
      <c r="AF48" s="4">
        <f t="shared" si="3"/>
        <v>135.6</v>
      </c>
    </row>
    <row r="49" spans="1:32" x14ac:dyDescent="0.35">
      <c r="A49">
        <v>10</v>
      </c>
      <c r="B49" t="s">
        <v>79</v>
      </c>
      <c r="C49">
        <v>0</v>
      </c>
      <c r="D49">
        <v>0</v>
      </c>
      <c r="E49">
        <v>0</v>
      </c>
      <c r="F49" s="3">
        <v>4</v>
      </c>
      <c r="G49" s="3">
        <v>2</v>
      </c>
      <c r="H49" s="3">
        <v>2</v>
      </c>
      <c r="I49" s="3">
        <v>2</v>
      </c>
      <c r="J49">
        <v>0</v>
      </c>
      <c r="K49" s="3">
        <v>4</v>
      </c>
      <c r="L49">
        <v>0</v>
      </c>
      <c r="M49">
        <v>0</v>
      </c>
      <c r="N49">
        <v>0</v>
      </c>
      <c r="O49">
        <v>0</v>
      </c>
      <c r="P49" s="3">
        <v>3</v>
      </c>
      <c r="Q49" s="3">
        <v>3</v>
      </c>
      <c r="R49">
        <v>0</v>
      </c>
      <c r="S49">
        <v>0</v>
      </c>
      <c r="T49" s="3">
        <v>3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 s="3">
        <v>5</v>
      </c>
      <c r="AB49">
        <v>0</v>
      </c>
      <c r="AC49">
        <v>0</v>
      </c>
      <c r="AD49">
        <v>100.5</v>
      </c>
      <c r="AE49" s="4">
        <f t="shared" si="2"/>
        <v>290.39999999999998</v>
      </c>
      <c r="AF49" s="4">
        <f t="shared" si="3"/>
        <v>147.6</v>
      </c>
    </row>
    <row r="50" spans="1:32" x14ac:dyDescent="0.35">
      <c r="A50">
        <v>10</v>
      </c>
      <c r="B50" t="s">
        <v>80</v>
      </c>
      <c r="C50">
        <v>0</v>
      </c>
      <c r="D50">
        <v>0</v>
      </c>
      <c r="E50">
        <v>0</v>
      </c>
      <c r="F50" s="3">
        <v>4</v>
      </c>
      <c r="G50">
        <v>0</v>
      </c>
      <c r="H50">
        <v>0</v>
      </c>
      <c r="I50" s="3">
        <v>2</v>
      </c>
      <c r="J50" s="3">
        <v>3</v>
      </c>
      <c r="K50">
        <v>0</v>
      </c>
      <c r="L50">
        <v>0</v>
      </c>
      <c r="M50">
        <v>0</v>
      </c>
      <c r="N50" s="3">
        <v>5</v>
      </c>
      <c r="O50">
        <v>0</v>
      </c>
      <c r="P50" s="3">
        <v>3</v>
      </c>
      <c r="Q50">
        <v>0</v>
      </c>
      <c r="R50" s="3">
        <v>3</v>
      </c>
      <c r="S50" s="3">
        <v>3</v>
      </c>
      <c r="T50">
        <v>0</v>
      </c>
      <c r="U50" s="3">
        <v>3</v>
      </c>
      <c r="V50">
        <v>0</v>
      </c>
      <c r="W50">
        <v>0</v>
      </c>
      <c r="X50">
        <v>0</v>
      </c>
      <c r="Y50">
        <v>0</v>
      </c>
      <c r="Z50">
        <v>0</v>
      </c>
      <c r="AA50" s="3">
        <v>5</v>
      </c>
      <c r="AB50">
        <v>0</v>
      </c>
      <c r="AC50">
        <v>0</v>
      </c>
      <c r="AD50">
        <v>105</v>
      </c>
      <c r="AE50" s="4">
        <f t="shared" si="2"/>
        <v>303.59999999999997</v>
      </c>
      <c r="AF50" s="4">
        <f t="shared" si="3"/>
        <v>146.1</v>
      </c>
    </row>
    <row r="51" spans="1:32" x14ac:dyDescent="0.35">
      <c r="A51">
        <v>10</v>
      </c>
      <c r="B51" t="s">
        <v>81</v>
      </c>
      <c r="C51">
        <v>0</v>
      </c>
      <c r="D51">
        <v>0</v>
      </c>
      <c r="E51">
        <v>0</v>
      </c>
      <c r="F51">
        <v>0</v>
      </c>
      <c r="G51" s="3">
        <v>2</v>
      </c>
      <c r="H51">
        <v>0</v>
      </c>
      <c r="I51" s="3">
        <v>2</v>
      </c>
      <c r="J51" s="3">
        <v>3</v>
      </c>
      <c r="K51" s="3">
        <v>4</v>
      </c>
      <c r="L51">
        <v>0</v>
      </c>
      <c r="M51">
        <v>0</v>
      </c>
      <c r="N51">
        <v>0</v>
      </c>
      <c r="O51" s="3">
        <v>3</v>
      </c>
      <c r="P51">
        <v>0</v>
      </c>
      <c r="Q51">
        <v>0</v>
      </c>
      <c r="R51" s="3">
        <v>3</v>
      </c>
      <c r="S51" s="3">
        <v>3</v>
      </c>
      <c r="T51" s="3">
        <v>3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 s="3">
        <v>5</v>
      </c>
      <c r="AB51">
        <v>0</v>
      </c>
      <c r="AC51">
        <v>0</v>
      </c>
      <c r="AD51">
        <v>100.5</v>
      </c>
      <c r="AE51" s="4">
        <f t="shared" si="2"/>
        <v>290.39999999999998</v>
      </c>
      <c r="AF51" s="4">
        <f t="shared" si="3"/>
        <v>132.89999999999998</v>
      </c>
    </row>
    <row r="52" spans="1:32" x14ac:dyDescent="0.35">
      <c r="A52">
        <v>11</v>
      </c>
      <c r="B52" t="s">
        <v>82</v>
      </c>
      <c r="C52" s="3">
        <v>4</v>
      </c>
      <c r="D52" s="3">
        <v>4</v>
      </c>
      <c r="E52">
        <v>0</v>
      </c>
      <c r="F52">
        <v>0</v>
      </c>
      <c r="G52" s="3">
        <v>2</v>
      </c>
      <c r="H52" s="3">
        <v>2</v>
      </c>
      <c r="I52" s="3">
        <v>2</v>
      </c>
      <c r="J52">
        <v>0</v>
      </c>
      <c r="K52">
        <v>0</v>
      </c>
      <c r="L52">
        <v>0</v>
      </c>
      <c r="M52">
        <v>0</v>
      </c>
      <c r="N52">
        <v>0</v>
      </c>
      <c r="O52" s="3">
        <v>3</v>
      </c>
      <c r="P52" s="3">
        <v>3</v>
      </c>
      <c r="Q52">
        <v>0</v>
      </c>
      <c r="R52" s="3">
        <v>3</v>
      </c>
      <c r="S52">
        <v>0</v>
      </c>
      <c r="T52">
        <v>0</v>
      </c>
      <c r="U52">
        <v>0</v>
      </c>
      <c r="V52" s="3">
        <v>3</v>
      </c>
      <c r="W52">
        <v>0</v>
      </c>
      <c r="X52">
        <v>0</v>
      </c>
      <c r="Y52">
        <v>0</v>
      </c>
      <c r="Z52">
        <v>0</v>
      </c>
      <c r="AA52" s="3">
        <v>5</v>
      </c>
      <c r="AB52">
        <v>0</v>
      </c>
      <c r="AC52">
        <v>0</v>
      </c>
      <c r="AD52">
        <v>105</v>
      </c>
      <c r="AE52" s="4">
        <f t="shared" si="2"/>
        <v>264</v>
      </c>
      <c r="AF52" s="4">
        <f t="shared" si="3"/>
        <v>114</v>
      </c>
    </row>
    <row r="53" spans="1:32" x14ac:dyDescent="0.35">
      <c r="A53">
        <v>11</v>
      </c>
      <c r="B53" t="s">
        <v>83</v>
      </c>
      <c r="C53" s="3">
        <v>4</v>
      </c>
      <c r="D53" s="3">
        <v>4</v>
      </c>
      <c r="E53">
        <v>0</v>
      </c>
      <c r="F53">
        <v>0</v>
      </c>
      <c r="G53">
        <v>0</v>
      </c>
      <c r="H53" s="3">
        <v>2</v>
      </c>
      <c r="I53">
        <v>0</v>
      </c>
      <c r="J53">
        <v>0</v>
      </c>
      <c r="K53" s="3">
        <v>4</v>
      </c>
      <c r="L53">
        <v>0</v>
      </c>
      <c r="M53" s="3">
        <v>4</v>
      </c>
      <c r="N53">
        <v>0</v>
      </c>
      <c r="O53">
        <v>0</v>
      </c>
      <c r="P53">
        <v>0</v>
      </c>
      <c r="Q53">
        <v>0</v>
      </c>
      <c r="R53" s="3">
        <v>3</v>
      </c>
      <c r="S53" s="3">
        <v>3</v>
      </c>
      <c r="T53" s="3">
        <v>3</v>
      </c>
      <c r="U53">
        <v>0</v>
      </c>
      <c r="V53" s="3">
        <v>3</v>
      </c>
      <c r="W53">
        <v>0</v>
      </c>
      <c r="X53">
        <v>0</v>
      </c>
      <c r="Y53">
        <v>0</v>
      </c>
      <c r="Z53">
        <v>0</v>
      </c>
      <c r="AA53" s="3">
        <v>5</v>
      </c>
      <c r="AB53">
        <v>0</v>
      </c>
      <c r="AC53">
        <v>0</v>
      </c>
      <c r="AD53">
        <v>111</v>
      </c>
      <c r="AE53" s="4">
        <f t="shared" si="2"/>
        <v>303.59999999999997</v>
      </c>
      <c r="AF53" s="4">
        <f t="shared" si="3"/>
        <v>150.6</v>
      </c>
    </row>
    <row r="54" spans="1:32" x14ac:dyDescent="0.35">
      <c r="A54">
        <v>11</v>
      </c>
      <c r="B54" t="s">
        <v>84</v>
      </c>
      <c r="C54" s="3">
        <v>4</v>
      </c>
      <c r="D54">
        <v>0</v>
      </c>
      <c r="E54">
        <v>0</v>
      </c>
      <c r="F54">
        <v>0</v>
      </c>
      <c r="G54" s="3">
        <v>2</v>
      </c>
      <c r="H54">
        <v>0</v>
      </c>
      <c r="I54" s="3">
        <v>2</v>
      </c>
      <c r="J54">
        <v>0</v>
      </c>
      <c r="K54">
        <v>0</v>
      </c>
      <c r="L54" s="3">
        <v>4</v>
      </c>
      <c r="M54">
        <v>0</v>
      </c>
      <c r="N54">
        <v>0</v>
      </c>
      <c r="O54">
        <v>0</v>
      </c>
      <c r="P54" s="3">
        <v>3</v>
      </c>
      <c r="Q54" s="3">
        <v>3</v>
      </c>
      <c r="R54" s="3">
        <v>3</v>
      </c>
      <c r="S54" s="3">
        <v>3</v>
      </c>
      <c r="T54" s="3">
        <v>3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 s="3">
        <v>5</v>
      </c>
      <c r="AB54">
        <v>0</v>
      </c>
      <c r="AC54">
        <v>0</v>
      </c>
      <c r="AD54">
        <v>106.5</v>
      </c>
      <c r="AE54" s="4">
        <f t="shared" si="2"/>
        <v>290.39999999999998</v>
      </c>
      <c r="AF54" s="4">
        <f t="shared" si="3"/>
        <v>150.6</v>
      </c>
    </row>
    <row r="55" spans="1:32" x14ac:dyDescent="0.35">
      <c r="A55">
        <v>11</v>
      </c>
      <c r="B55" t="s">
        <v>85</v>
      </c>
      <c r="C55">
        <v>0</v>
      </c>
      <c r="D55" s="3">
        <v>4</v>
      </c>
      <c r="E55" s="3">
        <v>4</v>
      </c>
      <c r="F55" s="3">
        <v>4</v>
      </c>
      <c r="G55">
        <v>0</v>
      </c>
      <c r="H55">
        <v>0</v>
      </c>
      <c r="I55">
        <v>0</v>
      </c>
      <c r="J55">
        <v>0</v>
      </c>
      <c r="K55" s="3">
        <v>4</v>
      </c>
      <c r="L55">
        <v>0</v>
      </c>
      <c r="M55" s="3">
        <v>4</v>
      </c>
      <c r="N55">
        <v>0</v>
      </c>
      <c r="O55">
        <v>0</v>
      </c>
      <c r="P55" s="3">
        <v>3</v>
      </c>
      <c r="Q55">
        <v>0</v>
      </c>
      <c r="R55">
        <v>0</v>
      </c>
      <c r="S55" s="3">
        <v>3</v>
      </c>
      <c r="T55" s="3">
        <v>3</v>
      </c>
      <c r="U55" s="3">
        <v>3</v>
      </c>
      <c r="V55" s="3">
        <v>3</v>
      </c>
      <c r="W55">
        <v>0</v>
      </c>
      <c r="X55">
        <v>0</v>
      </c>
      <c r="Y55">
        <v>0</v>
      </c>
      <c r="Z55">
        <v>0</v>
      </c>
      <c r="AA55" s="3">
        <v>5</v>
      </c>
      <c r="AB55">
        <v>0</v>
      </c>
      <c r="AC55">
        <v>0</v>
      </c>
      <c r="AD55">
        <v>118.5</v>
      </c>
      <c r="AE55" s="4">
        <f t="shared" si="2"/>
        <v>303.59999999999997</v>
      </c>
      <c r="AF55" s="4">
        <f t="shared" si="3"/>
        <v>155.1</v>
      </c>
    </row>
    <row r="56" spans="1:32" x14ac:dyDescent="0.35">
      <c r="A56">
        <v>11</v>
      </c>
      <c r="B56" t="s">
        <v>86</v>
      </c>
      <c r="C56">
        <v>0</v>
      </c>
      <c r="D56">
        <v>0</v>
      </c>
      <c r="E56" s="3">
        <v>4</v>
      </c>
      <c r="F56" s="3">
        <v>4</v>
      </c>
      <c r="G56">
        <v>0</v>
      </c>
      <c r="H56" s="3">
        <v>2</v>
      </c>
      <c r="I56">
        <v>0</v>
      </c>
      <c r="J56" s="3">
        <v>3</v>
      </c>
      <c r="K56">
        <v>0</v>
      </c>
      <c r="L56" s="3">
        <v>4</v>
      </c>
      <c r="M56">
        <v>0</v>
      </c>
      <c r="N56">
        <v>0</v>
      </c>
      <c r="O56" s="3">
        <v>3</v>
      </c>
      <c r="P56">
        <v>0</v>
      </c>
      <c r="Q56" s="3">
        <v>3</v>
      </c>
      <c r="R56">
        <v>0</v>
      </c>
      <c r="S56">
        <v>0</v>
      </c>
      <c r="T56">
        <v>0</v>
      </c>
      <c r="U56" s="3">
        <v>3</v>
      </c>
      <c r="V56" s="3">
        <v>3</v>
      </c>
      <c r="W56">
        <v>0</v>
      </c>
      <c r="X56">
        <v>0</v>
      </c>
      <c r="Y56">
        <v>0</v>
      </c>
      <c r="Z56">
        <v>0</v>
      </c>
      <c r="AA56" s="3">
        <v>5</v>
      </c>
      <c r="AB56">
        <v>0</v>
      </c>
      <c r="AC56">
        <v>0</v>
      </c>
      <c r="AD56">
        <v>109.5</v>
      </c>
      <c r="AE56" s="4">
        <f t="shared" si="2"/>
        <v>290.39999999999998</v>
      </c>
      <c r="AF56" s="4">
        <f t="shared" si="3"/>
        <v>152.1</v>
      </c>
    </row>
    <row r="57" spans="1:32" x14ac:dyDescent="0.35">
      <c r="A57">
        <v>12</v>
      </c>
      <c r="B57" t="s">
        <v>87</v>
      </c>
      <c r="C57" s="3">
        <v>4</v>
      </c>
      <c r="D57" s="3">
        <v>4</v>
      </c>
      <c r="E57" s="3">
        <v>4</v>
      </c>
      <c r="F57" s="3">
        <v>4</v>
      </c>
      <c r="G57">
        <v>0</v>
      </c>
      <c r="H57" s="3">
        <v>2</v>
      </c>
      <c r="I57" s="3">
        <v>2</v>
      </c>
      <c r="J57">
        <v>0</v>
      </c>
      <c r="K57" s="3">
        <v>4</v>
      </c>
      <c r="L57">
        <v>0</v>
      </c>
      <c r="M57">
        <v>0</v>
      </c>
      <c r="N57">
        <v>0</v>
      </c>
      <c r="O57">
        <v>0</v>
      </c>
      <c r="P57">
        <v>0</v>
      </c>
      <c r="Q57" s="3">
        <v>3</v>
      </c>
      <c r="R57">
        <v>0</v>
      </c>
      <c r="S57">
        <v>0</v>
      </c>
      <c r="T57" s="3">
        <v>3</v>
      </c>
      <c r="U57" s="3">
        <v>3</v>
      </c>
      <c r="V57" s="3">
        <v>3</v>
      </c>
      <c r="W57">
        <v>0</v>
      </c>
      <c r="X57">
        <v>0</v>
      </c>
      <c r="Y57">
        <v>0</v>
      </c>
      <c r="Z57">
        <v>0</v>
      </c>
      <c r="AA57" s="3">
        <v>5</v>
      </c>
      <c r="AB57">
        <v>0</v>
      </c>
      <c r="AC57">
        <v>0</v>
      </c>
      <c r="AD57">
        <v>120</v>
      </c>
      <c r="AE57" s="4">
        <f t="shared" si="2"/>
        <v>303.59999999999997</v>
      </c>
      <c r="AF57" s="4">
        <f t="shared" si="3"/>
        <v>164.1</v>
      </c>
    </row>
    <row r="58" spans="1:32" x14ac:dyDescent="0.35">
      <c r="A58">
        <v>12</v>
      </c>
      <c r="B58" t="s">
        <v>88</v>
      </c>
      <c r="C58" s="3">
        <v>4</v>
      </c>
      <c r="D58">
        <v>0</v>
      </c>
      <c r="E58">
        <v>0</v>
      </c>
      <c r="F58">
        <v>0</v>
      </c>
      <c r="G58">
        <v>0</v>
      </c>
      <c r="H58" s="3">
        <v>2</v>
      </c>
      <c r="I58">
        <v>0</v>
      </c>
      <c r="J58" s="3">
        <v>3</v>
      </c>
      <c r="K58" s="3">
        <v>4</v>
      </c>
      <c r="L58" s="3">
        <v>4</v>
      </c>
      <c r="M58" s="3">
        <v>4</v>
      </c>
      <c r="N58" s="3">
        <v>5</v>
      </c>
      <c r="O58">
        <v>0</v>
      </c>
      <c r="P58" s="3">
        <v>3</v>
      </c>
      <c r="Q58" s="3">
        <v>3</v>
      </c>
      <c r="R58">
        <v>0</v>
      </c>
      <c r="S58" s="3">
        <v>3</v>
      </c>
      <c r="T58" s="3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 s="3">
        <v>5</v>
      </c>
      <c r="AB58">
        <v>0</v>
      </c>
      <c r="AC58">
        <v>0</v>
      </c>
      <c r="AD58">
        <v>123</v>
      </c>
      <c r="AE58" s="4">
        <f t="shared" si="2"/>
        <v>303.59999999999997</v>
      </c>
      <c r="AF58" s="4">
        <f t="shared" si="3"/>
        <v>159.6</v>
      </c>
    </row>
    <row r="59" spans="1:32" x14ac:dyDescent="0.35">
      <c r="A59">
        <v>12</v>
      </c>
      <c r="B59" t="s">
        <v>89</v>
      </c>
      <c r="C59">
        <v>0</v>
      </c>
      <c r="D59" s="3">
        <v>4</v>
      </c>
      <c r="E59">
        <v>0</v>
      </c>
      <c r="F59">
        <v>0</v>
      </c>
      <c r="G59" s="3">
        <v>2</v>
      </c>
      <c r="H59">
        <v>0</v>
      </c>
      <c r="I59">
        <v>0</v>
      </c>
      <c r="J59" s="3">
        <v>3</v>
      </c>
      <c r="K59" s="3">
        <v>4</v>
      </c>
      <c r="L59" s="3">
        <v>4</v>
      </c>
      <c r="M59" s="3">
        <v>4</v>
      </c>
      <c r="N59">
        <v>0</v>
      </c>
      <c r="O59" s="3">
        <v>3</v>
      </c>
      <c r="P59">
        <v>0</v>
      </c>
      <c r="Q59" s="3">
        <v>3</v>
      </c>
      <c r="R59">
        <v>0</v>
      </c>
      <c r="S59" s="3">
        <v>3</v>
      </c>
      <c r="T59">
        <v>0</v>
      </c>
      <c r="U59">
        <v>0</v>
      </c>
      <c r="V59" s="3">
        <v>3</v>
      </c>
      <c r="W59">
        <v>0</v>
      </c>
      <c r="X59">
        <v>0</v>
      </c>
      <c r="Y59">
        <v>0</v>
      </c>
      <c r="Z59">
        <v>0</v>
      </c>
      <c r="AA59" s="3">
        <v>5</v>
      </c>
      <c r="AB59">
        <v>0</v>
      </c>
      <c r="AC59">
        <v>0</v>
      </c>
      <c r="AD59">
        <v>115.5</v>
      </c>
      <c r="AE59" s="4">
        <f t="shared" si="2"/>
        <v>290.39999999999998</v>
      </c>
      <c r="AF59" s="4">
        <f t="shared" si="3"/>
        <v>155.1</v>
      </c>
    </row>
    <row r="60" spans="1:32" x14ac:dyDescent="0.35">
      <c r="A60">
        <v>12</v>
      </c>
      <c r="B60" t="s">
        <v>90</v>
      </c>
      <c r="C60">
        <v>0</v>
      </c>
      <c r="D60" s="3">
        <v>4</v>
      </c>
      <c r="E60">
        <v>0</v>
      </c>
      <c r="F60">
        <v>0</v>
      </c>
      <c r="G60">
        <v>0</v>
      </c>
      <c r="H60">
        <v>0</v>
      </c>
      <c r="I60" s="3">
        <v>2</v>
      </c>
      <c r="J60">
        <v>0</v>
      </c>
      <c r="K60" s="3">
        <v>4</v>
      </c>
      <c r="L60">
        <v>0</v>
      </c>
      <c r="M60" s="3">
        <v>4</v>
      </c>
      <c r="N60">
        <v>0</v>
      </c>
      <c r="O60">
        <v>0</v>
      </c>
      <c r="P60">
        <v>0</v>
      </c>
      <c r="Q60">
        <v>0</v>
      </c>
      <c r="R60" s="3">
        <v>3</v>
      </c>
      <c r="S60" s="3">
        <v>3</v>
      </c>
      <c r="T60" s="3">
        <v>3</v>
      </c>
      <c r="U60">
        <v>0</v>
      </c>
      <c r="V60" s="3">
        <v>3</v>
      </c>
      <c r="W60">
        <v>0</v>
      </c>
      <c r="X60">
        <v>0</v>
      </c>
      <c r="Y60">
        <v>0</v>
      </c>
      <c r="Z60">
        <v>0</v>
      </c>
      <c r="AA60" s="3">
        <v>5</v>
      </c>
      <c r="AB60">
        <v>0</v>
      </c>
      <c r="AC60">
        <v>0</v>
      </c>
      <c r="AD60">
        <v>105</v>
      </c>
      <c r="AE60" s="4">
        <f t="shared" si="2"/>
        <v>290.39999999999998</v>
      </c>
      <c r="AF60" s="4">
        <f t="shared" si="3"/>
        <v>144.6</v>
      </c>
    </row>
    <row r="61" spans="1:32" x14ac:dyDescent="0.35">
      <c r="A61">
        <v>12</v>
      </c>
      <c r="B61" t="s">
        <v>91</v>
      </c>
      <c r="C61">
        <v>0</v>
      </c>
      <c r="D61">
        <v>0</v>
      </c>
      <c r="E61">
        <v>0</v>
      </c>
      <c r="F61" s="3">
        <v>4</v>
      </c>
      <c r="G61" s="3">
        <v>2</v>
      </c>
      <c r="H61">
        <v>0</v>
      </c>
      <c r="I61">
        <v>0</v>
      </c>
      <c r="J61">
        <v>0</v>
      </c>
      <c r="K61" s="3">
        <v>4</v>
      </c>
      <c r="L61" s="3">
        <v>4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3">
        <v>3</v>
      </c>
      <c r="T61" s="3">
        <v>3</v>
      </c>
      <c r="U61" s="3">
        <v>3</v>
      </c>
      <c r="V61" s="3">
        <v>3</v>
      </c>
      <c r="W61">
        <v>0</v>
      </c>
      <c r="X61">
        <v>0</v>
      </c>
      <c r="Y61">
        <v>0</v>
      </c>
      <c r="Z61">
        <v>0</v>
      </c>
      <c r="AA61" s="3">
        <v>5</v>
      </c>
      <c r="AB61">
        <v>0</v>
      </c>
      <c r="AC61">
        <v>0</v>
      </c>
      <c r="AD61">
        <v>105</v>
      </c>
      <c r="AE61" s="4">
        <f t="shared" si="2"/>
        <v>303.59999999999997</v>
      </c>
      <c r="AF61" s="4">
        <f t="shared" si="3"/>
        <v>144.6</v>
      </c>
    </row>
    <row r="62" spans="1:32" x14ac:dyDescent="0.35">
      <c r="A62">
        <v>13</v>
      </c>
      <c r="B62" t="s">
        <v>92</v>
      </c>
      <c r="C62" s="3">
        <v>4</v>
      </c>
      <c r="D62" s="3">
        <v>4</v>
      </c>
      <c r="E62" s="3">
        <v>4</v>
      </c>
      <c r="F62">
        <v>0</v>
      </c>
      <c r="G62" s="3">
        <v>2</v>
      </c>
      <c r="H62" s="3">
        <v>2</v>
      </c>
      <c r="I62">
        <v>0</v>
      </c>
      <c r="J62">
        <v>0</v>
      </c>
      <c r="K62">
        <v>0</v>
      </c>
      <c r="L62">
        <v>0</v>
      </c>
      <c r="M62">
        <v>0</v>
      </c>
      <c r="N62" s="3">
        <v>5</v>
      </c>
      <c r="O62">
        <v>0</v>
      </c>
      <c r="P62" s="3">
        <v>3</v>
      </c>
      <c r="Q62">
        <v>0</v>
      </c>
      <c r="R62">
        <v>0</v>
      </c>
      <c r="S62" s="3">
        <v>3</v>
      </c>
      <c r="T62" s="3">
        <v>3</v>
      </c>
      <c r="U62" s="3">
        <v>3</v>
      </c>
      <c r="V62">
        <v>0</v>
      </c>
      <c r="W62">
        <v>0</v>
      </c>
      <c r="X62">
        <v>0</v>
      </c>
      <c r="Y62">
        <v>0</v>
      </c>
      <c r="Z62">
        <v>0</v>
      </c>
      <c r="AA62" s="3">
        <v>5</v>
      </c>
      <c r="AB62">
        <v>0</v>
      </c>
      <c r="AC62">
        <v>0</v>
      </c>
      <c r="AD62">
        <v>115.5</v>
      </c>
      <c r="AE62" s="4">
        <f t="shared" si="2"/>
        <v>303.59999999999997</v>
      </c>
      <c r="AF62" s="4">
        <f t="shared" si="3"/>
        <v>158.1</v>
      </c>
    </row>
    <row r="63" spans="1:32" x14ac:dyDescent="0.35">
      <c r="A63">
        <v>13</v>
      </c>
      <c r="B63" t="s">
        <v>93</v>
      </c>
      <c r="C63" s="3">
        <v>4</v>
      </c>
      <c r="D63" s="3">
        <v>4</v>
      </c>
      <c r="E63">
        <v>0</v>
      </c>
      <c r="F63">
        <v>0</v>
      </c>
      <c r="G63" s="3">
        <v>2</v>
      </c>
      <c r="H63" s="3">
        <v>2</v>
      </c>
      <c r="I63" s="3">
        <v>2</v>
      </c>
      <c r="J63" s="3">
        <v>3</v>
      </c>
      <c r="K63">
        <v>0</v>
      </c>
      <c r="L63" s="3">
        <v>4</v>
      </c>
      <c r="M63">
        <v>0</v>
      </c>
      <c r="N63" s="3">
        <v>5</v>
      </c>
      <c r="O63">
        <v>0</v>
      </c>
      <c r="P63">
        <v>0</v>
      </c>
      <c r="Q63" s="3">
        <v>3</v>
      </c>
      <c r="R63" s="3">
        <v>3</v>
      </c>
      <c r="S63">
        <v>0</v>
      </c>
      <c r="T63">
        <v>0</v>
      </c>
      <c r="U63" s="3">
        <v>3</v>
      </c>
      <c r="V63">
        <v>0</v>
      </c>
      <c r="W63">
        <v>0</v>
      </c>
      <c r="X63">
        <v>0</v>
      </c>
      <c r="Y63">
        <v>0</v>
      </c>
      <c r="Z63">
        <v>0</v>
      </c>
      <c r="AA63" s="3">
        <v>5</v>
      </c>
      <c r="AB63">
        <v>0</v>
      </c>
      <c r="AC63">
        <v>0</v>
      </c>
      <c r="AD63">
        <v>118.5</v>
      </c>
      <c r="AE63" s="4">
        <f t="shared" si="2"/>
        <v>290.39999999999998</v>
      </c>
      <c r="AF63" s="4">
        <f t="shared" si="3"/>
        <v>164.1</v>
      </c>
    </row>
    <row r="64" spans="1:32" x14ac:dyDescent="0.35">
      <c r="A64">
        <v>13</v>
      </c>
      <c r="B64" t="s">
        <v>94</v>
      </c>
      <c r="C64" s="3">
        <v>4</v>
      </c>
      <c r="D64" s="3">
        <v>4</v>
      </c>
      <c r="E64">
        <v>0</v>
      </c>
      <c r="F64">
        <v>0</v>
      </c>
      <c r="G64" s="3">
        <v>2</v>
      </c>
      <c r="H64" s="3">
        <v>2</v>
      </c>
      <c r="I64">
        <v>0</v>
      </c>
      <c r="J64">
        <v>0</v>
      </c>
      <c r="K64" s="3">
        <v>4</v>
      </c>
      <c r="L64">
        <v>0</v>
      </c>
      <c r="M64" s="3">
        <v>4</v>
      </c>
      <c r="N64">
        <v>0</v>
      </c>
      <c r="O64" s="3">
        <v>3</v>
      </c>
      <c r="P64" s="3">
        <v>3</v>
      </c>
      <c r="Q64" s="3">
        <v>3</v>
      </c>
      <c r="R64">
        <v>0</v>
      </c>
      <c r="S64">
        <v>0</v>
      </c>
      <c r="T64">
        <v>0</v>
      </c>
      <c r="U64" s="3">
        <v>3</v>
      </c>
      <c r="V64">
        <v>0</v>
      </c>
      <c r="W64">
        <v>0</v>
      </c>
      <c r="X64">
        <v>0</v>
      </c>
      <c r="Y64">
        <v>0</v>
      </c>
      <c r="Z64">
        <v>0</v>
      </c>
      <c r="AA64" s="3">
        <v>5</v>
      </c>
      <c r="AB64">
        <v>0</v>
      </c>
      <c r="AC64">
        <v>0</v>
      </c>
      <c r="AD64">
        <v>114</v>
      </c>
      <c r="AE64" s="4">
        <f t="shared" si="2"/>
        <v>290.39999999999998</v>
      </c>
      <c r="AF64" s="4">
        <f t="shared" si="3"/>
        <v>156.6</v>
      </c>
    </row>
    <row r="65" spans="1:32" x14ac:dyDescent="0.35">
      <c r="A65">
        <v>13</v>
      </c>
      <c r="B65" t="s">
        <v>95</v>
      </c>
      <c r="C65" s="3">
        <v>4</v>
      </c>
      <c r="D65">
        <v>0</v>
      </c>
      <c r="E65">
        <v>0</v>
      </c>
      <c r="F65" s="3">
        <v>4</v>
      </c>
      <c r="G65">
        <v>0</v>
      </c>
      <c r="H65" s="3">
        <v>2</v>
      </c>
      <c r="I65" s="3">
        <v>2</v>
      </c>
      <c r="J65" s="3">
        <v>3</v>
      </c>
      <c r="K65" s="3">
        <v>4</v>
      </c>
      <c r="L65">
        <v>0</v>
      </c>
      <c r="M65" s="3">
        <v>4</v>
      </c>
      <c r="N65">
        <v>0</v>
      </c>
      <c r="O65">
        <v>0</v>
      </c>
      <c r="P65" s="3">
        <v>3</v>
      </c>
      <c r="Q65">
        <v>0</v>
      </c>
      <c r="R65">
        <v>0</v>
      </c>
      <c r="S65">
        <v>0</v>
      </c>
      <c r="T65">
        <v>0</v>
      </c>
      <c r="U65" s="3">
        <v>3</v>
      </c>
      <c r="V65" s="3">
        <v>3</v>
      </c>
      <c r="W65">
        <v>0</v>
      </c>
      <c r="X65">
        <v>0</v>
      </c>
      <c r="Y65">
        <v>0</v>
      </c>
      <c r="Z65">
        <v>0</v>
      </c>
      <c r="AA65" s="3">
        <v>5</v>
      </c>
      <c r="AB65">
        <v>0</v>
      </c>
      <c r="AC65">
        <v>0</v>
      </c>
      <c r="AD65">
        <v>114</v>
      </c>
      <c r="AE65" s="4">
        <f t="shared" si="2"/>
        <v>303.59999999999997</v>
      </c>
      <c r="AF65" s="4">
        <f t="shared" si="3"/>
        <v>158.1</v>
      </c>
    </row>
    <row r="66" spans="1:32" x14ac:dyDescent="0.35">
      <c r="A66">
        <v>13</v>
      </c>
      <c r="B66" t="s">
        <v>96</v>
      </c>
      <c r="C66">
        <v>0</v>
      </c>
      <c r="D66" s="3">
        <v>4</v>
      </c>
      <c r="E66" s="3">
        <v>4</v>
      </c>
      <c r="F66" s="3">
        <v>4</v>
      </c>
      <c r="G66" s="3">
        <v>2</v>
      </c>
      <c r="H66">
        <v>0</v>
      </c>
      <c r="I66" s="3">
        <v>2</v>
      </c>
      <c r="J66" s="3">
        <v>3</v>
      </c>
      <c r="K66">
        <v>0</v>
      </c>
      <c r="L66">
        <v>0</v>
      </c>
      <c r="M66">
        <v>0</v>
      </c>
      <c r="N66" s="3">
        <v>5</v>
      </c>
      <c r="O66" s="3">
        <v>3</v>
      </c>
      <c r="P66" s="3">
        <v>3</v>
      </c>
      <c r="Q66" s="3">
        <v>3</v>
      </c>
      <c r="R66">
        <v>0</v>
      </c>
      <c r="S66">
        <v>0</v>
      </c>
      <c r="T66" s="3">
        <v>3</v>
      </c>
      <c r="U66">
        <v>0</v>
      </c>
      <c r="V66" s="3">
        <v>3</v>
      </c>
      <c r="W66">
        <v>0</v>
      </c>
      <c r="X66">
        <v>0</v>
      </c>
      <c r="Y66">
        <v>0</v>
      </c>
      <c r="Z66">
        <v>0</v>
      </c>
      <c r="AA66" s="3">
        <v>5</v>
      </c>
      <c r="AB66">
        <v>0</v>
      </c>
      <c r="AC66">
        <v>0</v>
      </c>
      <c r="AD66">
        <v>124.5</v>
      </c>
      <c r="AE66" s="4">
        <f t="shared" ref="AE66:AE76" si="4">13.2*(MAX(IF(ISNUMBER(SEARCH(";0;",";"&amp;$B66&amp;";")),10,0),IF(ISNUMBER(SEARCH(";1;",";"&amp;$B66&amp;";")),9,0),IF(ISNUMBER(SEARCH(";2;",";"&amp;$B66&amp;";")),9,0),IF(ISNUMBER(SEARCH(";3;",";"&amp;$B66&amp;";")),10,0),IF(ISNUMBER(SEARCH(";4;",";"&amp;$B66&amp;";")),8,0),IF(ISNUMBER(SEARCH(";5;",";"&amp;$B66&amp;";")),8,0),IF(ISNUMBER(SEARCH(";6;",";"&amp;$B66&amp;";")),8,0),IF(ISNUMBER(SEARCH(";7;",";"&amp;$B66&amp;";")),9,0))+MAX(IF(ISNUMBER(SEARCH(";8;",";"&amp;$B66&amp;";")),8,0),IF(ISNUMBER(SEARCH(";9;",";"&amp;$B66&amp;";")),7,0),IF(ISNUMBER(SEARCH(";10;",";"&amp;$B66&amp;";")),7,0),IF(ISNUMBER(SEARCH(";11;",";"&amp;$B66&amp;";")),8,0),IF(ISNUMBER(SEARCH(";12;",";"&amp;$B66&amp;";")),5,0),IF(ISNUMBER(SEARCH(";13;",";"&amp;$B66&amp;";")),4,0),IF(ISNUMBER(SEARCH(";14;",";"&amp;$B66&amp;";")),4,0),IF(ISNUMBER(SEARCH(";15;",";"&amp;$B66&amp;";")),5,0))+MAX(IF(ISNUMBER(SEARCH(";16;",";"&amp;$B66&amp;";")),5,0),IF(ISNUMBER(SEARCH(";17;",";"&amp;$B66&amp;";")),4,0),IF(ISNUMBER(SEARCH(";18;",";"&amp;$B66&amp;";")),4,0),IF(ISNUMBER(SEARCH(";19;",";"&amp;$B66&amp;";")),5,0),IF(ISNUMBER(SEARCH(";20;",";"&amp;$B66&amp;";")),0,0),IF(ISNUMBER(SEARCH(";21;",";"&amp;$B66&amp;";")),0,0),IF(ISNUMBER(SEARCH(";22;",";"&amp;$B66&amp;";")),0,0),IF(ISNUMBER(SEARCH(";23;",";"&amp;$B66&amp;";")),0,0)))</f>
        <v>303.59999999999997</v>
      </c>
      <c r="AF66" s="4">
        <f t="shared" ref="AF66:AF76" si="5">13.2*(MAX(IF(ISNUMBER(SEARCH(";0;",";"&amp;$B66&amp;";")),5,0),IF(ISNUMBER(SEARCH(";1;",";"&amp;$B66&amp;";")),5,0),IF(ISNUMBER(SEARCH(";2;",";"&amp;$B66&amp;";")),5,0),IF(ISNUMBER(SEARCH(";3;",";"&amp;$B66&amp;";")),5,0),IF(ISNUMBER(SEARCH(";4;",";"&amp;$B66&amp;";")),4,0),IF(ISNUMBER(SEARCH(";5;",";"&amp;$B66&amp;";")),4,0),IF(ISNUMBER(SEARCH(";6;",";"&amp;$B66&amp;";")),4,0),IF(ISNUMBER(SEARCH(";7;",";"&amp;$B66&amp;";")),4,0))+MAX(IF(ISNUMBER(SEARCH(";8;",";"&amp;$B66&amp;";")),3,0),IF(ISNUMBER(SEARCH(";9;",";"&amp;$B66&amp;";")),3,0),IF(ISNUMBER(SEARCH(";10;",";"&amp;$B66&amp;";")),3,0),IF(ISNUMBER(SEARCH(";11;",";"&amp;$B66&amp;";")),3,0),IF(ISNUMBER(SEARCH(";12;",";"&amp;$B66&amp;";")),0,0),IF(ISNUMBER(SEARCH(";13;",";"&amp;$B66&amp;";")),0,0),IF(ISNUMBER(SEARCH(";14;",";"&amp;$B66&amp;";")),0,0),IF(ISNUMBER(SEARCH(";15;",";"&amp;$B66&amp;";")),0,0))+MAX(IF(ISNUMBER(SEARCH(";16;",";"&amp;$B66&amp;";")),0,0),IF(ISNUMBER(SEARCH(";17;",";"&amp;$B66&amp;";")),0,0),IF(ISNUMBER(SEARCH(";18;",";"&amp;$B66&amp;";")),0,0),IF(ISNUMBER(SEARCH(";19;",";"&amp;$B66&amp;";")),0,0),IF(ISNUMBER(SEARCH(";20;",";"&amp;$B66&amp;";")),0,0),IF(ISNUMBER(SEARCH(";21;",";"&amp;$B66&amp;";")),0,0),IF(ISNUMBER(SEARCH(";22;",";"&amp;$B66&amp;";")),0,0),IF(ISNUMBER(SEARCH(";23;",";"&amp;$B66&amp;";")),0,0)))+1.5*(IF(ISNUMBER(SEARCH(";0;",";"&amp;$B66&amp;";")),4,0)+IF(ISNUMBER(SEARCH(";1;",";"&amp;$B66&amp;";")),4,0)+IF(ISNUMBER(SEARCH(";2;",";"&amp;$B66&amp;";")),4,0)+IF(ISNUMBER(SEARCH(";3;",";"&amp;$B66&amp;";")),4,0)+IF(ISNUMBER(SEARCH(";4;",";"&amp;$B66&amp;";")),4,0)+IF(ISNUMBER(SEARCH(";5;",";"&amp;$B66&amp;";")),4,0)+IF(ISNUMBER(SEARCH(";6;",";"&amp;$B66&amp;";")),4,0)+IF(ISNUMBER(SEARCH(";7;",";"&amp;$B66&amp;";")),4,0)+IF(ISNUMBER(SEARCH(";8;",";"&amp;$B66&amp;";")),3,0)+IF(ISNUMBER(SEARCH(";9;",";"&amp;$B66&amp;";")),3,0)+IF(ISNUMBER(SEARCH(";10;",";"&amp;$B66&amp;";")),3,0)+IF(ISNUMBER(SEARCH(";11;",";"&amp;$B66&amp;";")),3,0)+IF(ISNUMBER(SEARCH(";12;",";"&amp;$B66&amp;";")),3,0)+IF(ISNUMBER(SEARCH(";13;",";"&amp;$B66&amp;";")),3,0)+IF(ISNUMBER(SEARCH(";14;",";"&amp;$B66&amp;";")),3,0)+IF(ISNUMBER(SEARCH(";15;",";"&amp;$B66&amp;";")),3,0)+IF(ISNUMBER(SEARCH(";16;",";"&amp;$B66&amp;";")),3,0)+IF(ISNUMBER(SEARCH(";17;",";"&amp;$B66&amp;";")),3,0)+IF(ISNUMBER(SEARCH(";18;",";"&amp;$B66&amp;";")),3,0)+IF(ISNUMBER(SEARCH(";19;",";"&amp;$B66&amp;";")),3,0)+IF(ISNUMBER(SEARCH(";20;",";"&amp;$B66&amp;";")),0,0)+IF(ISNUMBER(SEARCH(";21;",";"&amp;$B66&amp;";")),0,0)+IF(ISNUMBER(SEARCH(";22;",";"&amp;$B66&amp;";")),0,0)+IF(ISNUMBER(SEARCH(";23;",";"&amp;$B66&amp;";")),0,0))</f>
        <v>168.6</v>
      </c>
    </row>
    <row r="67" spans="1:32" x14ac:dyDescent="0.35">
      <c r="A67">
        <v>14</v>
      </c>
      <c r="B67" t="s">
        <v>97</v>
      </c>
      <c r="C67" s="3">
        <v>4</v>
      </c>
      <c r="D67" s="3">
        <v>4</v>
      </c>
      <c r="E67">
        <v>0</v>
      </c>
      <c r="F67" s="3">
        <v>4</v>
      </c>
      <c r="G67" s="3">
        <v>2</v>
      </c>
      <c r="H67">
        <v>0</v>
      </c>
      <c r="I67" s="3">
        <v>2</v>
      </c>
      <c r="J67">
        <v>0</v>
      </c>
      <c r="K67">
        <v>0</v>
      </c>
      <c r="L67" s="3">
        <v>4</v>
      </c>
      <c r="M67" s="3">
        <v>4</v>
      </c>
      <c r="N67" s="3">
        <v>5</v>
      </c>
      <c r="O67">
        <v>0</v>
      </c>
      <c r="P67" s="3">
        <v>3</v>
      </c>
      <c r="Q67">
        <v>0</v>
      </c>
      <c r="R67" s="3">
        <v>3</v>
      </c>
      <c r="S67" s="3">
        <v>3</v>
      </c>
      <c r="T67">
        <v>0</v>
      </c>
      <c r="U67">
        <v>0</v>
      </c>
      <c r="V67" s="3">
        <v>3</v>
      </c>
      <c r="W67">
        <v>0</v>
      </c>
      <c r="X67">
        <v>0</v>
      </c>
      <c r="Y67">
        <v>0</v>
      </c>
      <c r="Z67">
        <v>0</v>
      </c>
      <c r="AA67" s="3">
        <v>5</v>
      </c>
      <c r="AB67">
        <v>0</v>
      </c>
      <c r="AC67">
        <v>0</v>
      </c>
      <c r="AD67">
        <v>127.5</v>
      </c>
      <c r="AE67" s="4">
        <f t="shared" si="4"/>
        <v>303.59999999999997</v>
      </c>
      <c r="AF67" s="4">
        <f t="shared" si="5"/>
        <v>167.1</v>
      </c>
    </row>
    <row r="68" spans="1:32" x14ac:dyDescent="0.35">
      <c r="A68">
        <v>14</v>
      </c>
      <c r="B68" t="s">
        <v>98</v>
      </c>
      <c r="C68" s="3">
        <v>4</v>
      </c>
      <c r="D68">
        <v>0</v>
      </c>
      <c r="E68" s="3">
        <v>4</v>
      </c>
      <c r="F68" s="3">
        <v>4</v>
      </c>
      <c r="G68" s="3">
        <v>2</v>
      </c>
      <c r="H68">
        <v>0</v>
      </c>
      <c r="I68">
        <v>0</v>
      </c>
      <c r="J68">
        <v>0</v>
      </c>
      <c r="K68" s="3">
        <v>4</v>
      </c>
      <c r="L68" s="3">
        <v>4</v>
      </c>
      <c r="M68" s="3">
        <v>4</v>
      </c>
      <c r="N68" s="3">
        <v>5</v>
      </c>
      <c r="O68" s="3">
        <v>3</v>
      </c>
      <c r="P68" s="3">
        <v>3</v>
      </c>
      <c r="Q68" s="3">
        <v>3</v>
      </c>
      <c r="R68">
        <v>0</v>
      </c>
      <c r="S68" s="3">
        <v>3</v>
      </c>
      <c r="T68" s="3">
        <v>3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s="3">
        <v>5</v>
      </c>
      <c r="AB68">
        <v>0</v>
      </c>
      <c r="AC68">
        <v>0</v>
      </c>
      <c r="AD68">
        <v>135</v>
      </c>
      <c r="AE68" s="4">
        <f t="shared" si="4"/>
        <v>303.59999999999997</v>
      </c>
      <c r="AF68" s="4">
        <f t="shared" si="5"/>
        <v>170.1</v>
      </c>
    </row>
    <row r="69" spans="1:32" x14ac:dyDescent="0.35">
      <c r="A69">
        <v>14</v>
      </c>
      <c r="B69" t="s">
        <v>99</v>
      </c>
      <c r="C69" s="3">
        <v>4</v>
      </c>
      <c r="D69">
        <v>0</v>
      </c>
      <c r="E69" s="3">
        <v>4</v>
      </c>
      <c r="F69">
        <v>0</v>
      </c>
      <c r="G69">
        <v>0</v>
      </c>
      <c r="H69" s="3">
        <v>2</v>
      </c>
      <c r="I69" s="3">
        <v>2</v>
      </c>
      <c r="J69">
        <v>0</v>
      </c>
      <c r="K69">
        <v>0</v>
      </c>
      <c r="L69" s="3">
        <v>4</v>
      </c>
      <c r="M69" s="3">
        <v>4</v>
      </c>
      <c r="N69" s="3">
        <v>5</v>
      </c>
      <c r="O69">
        <v>0</v>
      </c>
      <c r="P69" s="3">
        <v>3</v>
      </c>
      <c r="Q69" s="3">
        <v>3</v>
      </c>
      <c r="R69">
        <v>0</v>
      </c>
      <c r="S69" s="3">
        <v>3</v>
      </c>
      <c r="T69" s="3">
        <v>3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 s="3">
        <v>5</v>
      </c>
      <c r="AB69">
        <v>0</v>
      </c>
      <c r="AC69">
        <v>0</v>
      </c>
      <c r="AD69">
        <v>121.5</v>
      </c>
      <c r="AE69" s="4">
        <f t="shared" si="4"/>
        <v>303.59999999999997</v>
      </c>
      <c r="AF69" s="4">
        <f t="shared" si="5"/>
        <v>161.1</v>
      </c>
    </row>
    <row r="70" spans="1:32" x14ac:dyDescent="0.35">
      <c r="A70">
        <v>14</v>
      </c>
      <c r="B70" t="s">
        <v>100</v>
      </c>
      <c r="C70" s="3">
        <v>4</v>
      </c>
      <c r="D70">
        <v>0</v>
      </c>
      <c r="E70">
        <v>0</v>
      </c>
      <c r="F70" s="3">
        <v>4</v>
      </c>
      <c r="G70" s="3">
        <v>2</v>
      </c>
      <c r="H70" s="3">
        <v>2</v>
      </c>
      <c r="I70" s="3">
        <v>2</v>
      </c>
      <c r="J70">
        <v>0</v>
      </c>
      <c r="K70">
        <v>0</v>
      </c>
      <c r="L70" s="3">
        <v>4</v>
      </c>
      <c r="M70">
        <v>0</v>
      </c>
      <c r="N70" s="3">
        <v>5</v>
      </c>
      <c r="O70" s="3">
        <v>3</v>
      </c>
      <c r="P70">
        <v>0</v>
      </c>
      <c r="Q70">
        <v>0</v>
      </c>
      <c r="R70" s="3">
        <v>3</v>
      </c>
      <c r="S70">
        <v>0</v>
      </c>
      <c r="T70" s="3">
        <v>3</v>
      </c>
      <c r="U70" s="3">
        <v>3</v>
      </c>
      <c r="V70" s="3">
        <v>3</v>
      </c>
      <c r="W70">
        <v>0</v>
      </c>
      <c r="X70">
        <v>0</v>
      </c>
      <c r="Y70">
        <v>0</v>
      </c>
      <c r="Z70">
        <v>0</v>
      </c>
      <c r="AA70" s="3">
        <v>5</v>
      </c>
      <c r="AB70">
        <v>0</v>
      </c>
      <c r="AC70">
        <v>0</v>
      </c>
      <c r="AD70">
        <v>123</v>
      </c>
      <c r="AE70" s="4">
        <f t="shared" si="4"/>
        <v>303.59999999999997</v>
      </c>
      <c r="AF70" s="4">
        <f t="shared" si="5"/>
        <v>167.1</v>
      </c>
    </row>
    <row r="71" spans="1:32" x14ac:dyDescent="0.35">
      <c r="A71">
        <v>14</v>
      </c>
      <c r="B71" t="s">
        <v>101</v>
      </c>
      <c r="C71">
        <v>0</v>
      </c>
      <c r="D71">
        <v>0</v>
      </c>
      <c r="E71">
        <v>0</v>
      </c>
      <c r="F71" s="3">
        <v>4</v>
      </c>
      <c r="G71" s="3">
        <v>2</v>
      </c>
      <c r="H71">
        <v>0</v>
      </c>
      <c r="I71" s="3">
        <v>2</v>
      </c>
      <c r="J71">
        <v>0</v>
      </c>
      <c r="K71">
        <v>0</v>
      </c>
      <c r="L71" s="3">
        <v>4</v>
      </c>
      <c r="M71" s="3">
        <v>4</v>
      </c>
      <c r="N71">
        <v>0</v>
      </c>
      <c r="O71" s="3">
        <v>3</v>
      </c>
      <c r="P71" s="3">
        <v>3</v>
      </c>
      <c r="Q71">
        <v>0</v>
      </c>
      <c r="R71">
        <v>0</v>
      </c>
      <c r="S71" s="3">
        <v>3</v>
      </c>
      <c r="T71" s="3">
        <v>3</v>
      </c>
      <c r="U71" s="3">
        <v>3</v>
      </c>
      <c r="V71" s="3">
        <v>3</v>
      </c>
      <c r="W71">
        <v>0</v>
      </c>
      <c r="X71">
        <v>0</v>
      </c>
      <c r="Y71">
        <v>0</v>
      </c>
      <c r="Z71">
        <v>0</v>
      </c>
      <c r="AA71" s="3">
        <v>5</v>
      </c>
      <c r="AB71">
        <v>0</v>
      </c>
      <c r="AC71">
        <v>0</v>
      </c>
      <c r="AD71">
        <v>117</v>
      </c>
      <c r="AE71" s="4">
        <f t="shared" si="4"/>
        <v>290.39999999999998</v>
      </c>
      <c r="AF71" s="4">
        <f t="shared" si="5"/>
        <v>159.6</v>
      </c>
    </row>
    <row r="72" spans="1:32" x14ac:dyDescent="0.35">
      <c r="A72">
        <v>15</v>
      </c>
      <c r="B72" t="s">
        <v>102</v>
      </c>
      <c r="C72" s="3">
        <v>4</v>
      </c>
      <c r="D72" s="3">
        <v>4</v>
      </c>
      <c r="E72" s="3">
        <v>4</v>
      </c>
      <c r="F72" s="3">
        <v>4</v>
      </c>
      <c r="G72" s="3">
        <v>2</v>
      </c>
      <c r="H72">
        <v>0</v>
      </c>
      <c r="I72" s="3">
        <v>2</v>
      </c>
      <c r="J72" s="3">
        <v>3</v>
      </c>
      <c r="K72">
        <v>0</v>
      </c>
      <c r="L72" s="3">
        <v>4</v>
      </c>
      <c r="M72" s="3">
        <v>4</v>
      </c>
      <c r="N72">
        <v>0</v>
      </c>
      <c r="O72">
        <v>0</v>
      </c>
      <c r="P72" s="3">
        <v>3</v>
      </c>
      <c r="Q72">
        <v>0</v>
      </c>
      <c r="R72" s="3">
        <v>3</v>
      </c>
      <c r="S72">
        <v>0</v>
      </c>
      <c r="T72">
        <v>0</v>
      </c>
      <c r="U72" s="3">
        <v>3</v>
      </c>
      <c r="V72" s="3">
        <v>3</v>
      </c>
      <c r="W72">
        <v>0</v>
      </c>
      <c r="X72">
        <v>0</v>
      </c>
      <c r="Y72">
        <v>0</v>
      </c>
      <c r="Z72">
        <v>0</v>
      </c>
      <c r="AA72" s="3">
        <v>5</v>
      </c>
      <c r="AB72">
        <v>0</v>
      </c>
      <c r="AC72">
        <v>0</v>
      </c>
      <c r="AD72">
        <v>130.5</v>
      </c>
      <c r="AE72" s="4">
        <f t="shared" si="4"/>
        <v>290.39999999999998</v>
      </c>
      <c r="AF72" s="4">
        <f t="shared" si="5"/>
        <v>174.6</v>
      </c>
    </row>
    <row r="73" spans="1:32" x14ac:dyDescent="0.35">
      <c r="A73">
        <v>15</v>
      </c>
      <c r="B73" t="s">
        <v>103</v>
      </c>
      <c r="C73" s="3">
        <v>4</v>
      </c>
      <c r="D73" s="3">
        <v>4</v>
      </c>
      <c r="E73">
        <v>0</v>
      </c>
      <c r="F73" s="3">
        <v>4</v>
      </c>
      <c r="G73" s="3">
        <v>2</v>
      </c>
      <c r="H73">
        <v>0</v>
      </c>
      <c r="I73" s="3">
        <v>2</v>
      </c>
      <c r="J73" s="3">
        <v>3</v>
      </c>
      <c r="K73">
        <v>0</v>
      </c>
      <c r="L73">
        <v>0</v>
      </c>
      <c r="M73">
        <v>0</v>
      </c>
      <c r="N73">
        <v>0</v>
      </c>
      <c r="O73" s="3">
        <v>3</v>
      </c>
      <c r="P73" s="3">
        <v>3</v>
      </c>
      <c r="Q73" s="3">
        <v>3</v>
      </c>
      <c r="R73" s="3">
        <v>3</v>
      </c>
      <c r="S73">
        <v>0</v>
      </c>
      <c r="T73">
        <v>0</v>
      </c>
      <c r="U73" s="3">
        <v>3</v>
      </c>
      <c r="V73">
        <v>0</v>
      </c>
      <c r="W73">
        <v>0</v>
      </c>
      <c r="X73">
        <v>0</v>
      </c>
      <c r="Y73">
        <v>0</v>
      </c>
      <c r="Z73">
        <v>0</v>
      </c>
      <c r="AA73" s="3">
        <v>5</v>
      </c>
      <c r="AB73">
        <v>0</v>
      </c>
      <c r="AC73">
        <v>0</v>
      </c>
      <c r="AD73">
        <v>117</v>
      </c>
      <c r="AE73" s="4">
        <f t="shared" si="4"/>
        <v>250.79999999999998</v>
      </c>
      <c r="AF73" s="4">
        <f t="shared" si="5"/>
        <v>124.5</v>
      </c>
    </row>
    <row r="74" spans="1:32" x14ac:dyDescent="0.35">
      <c r="A74">
        <v>15</v>
      </c>
      <c r="B74" t="s">
        <v>104</v>
      </c>
      <c r="C74">
        <v>0</v>
      </c>
      <c r="D74" s="3">
        <v>4</v>
      </c>
      <c r="E74" s="3">
        <v>4</v>
      </c>
      <c r="F74" s="3">
        <v>4</v>
      </c>
      <c r="G74">
        <v>0</v>
      </c>
      <c r="H74" s="3">
        <v>2</v>
      </c>
      <c r="I74">
        <v>0</v>
      </c>
      <c r="J74" s="3">
        <v>3</v>
      </c>
      <c r="K74" s="3">
        <v>4</v>
      </c>
      <c r="L74">
        <v>0</v>
      </c>
      <c r="M74" s="3">
        <v>4</v>
      </c>
      <c r="N74" s="3">
        <v>5</v>
      </c>
      <c r="O74" s="3">
        <v>3</v>
      </c>
      <c r="P74">
        <v>0</v>
      </c>
      <c r="Q74" s="3">
        <v>3</v>
      </c>
      <c r="R74">
        <v>0</v>
      </c>
      <c r="S74" s="3">
        <v>3</v>
      </c>
      <c r="T74" s="3">
        <v>3</v>
      </c>
      <c r="U74" s="3">
        <v>3</v>
      </c>
      <c r="V74">
        <v>0</v>
      </c>
      <c r="W74">
        <v>0</v>
      </c>
      <c r="X74">
        <v>0</v>
      </c>
      <c r="Y74">
        <v>0</v>
      </c>
      <c r="Z74">
        <v>0</v>
      </c>
      <c r="AA74" s="3">
        <v>5</v>
      </c>
      <c r="AB74">
        <v>0</v>
      </c>
      <c r="AC74">
        <v>0</v>
      </c>
      <c r="AD74">
        <v>133.5</v>
      </c>
      <c r="AE74" s="4">
        <f t="shared" si="4"/>
        <v>303.59999999999997</v>
      </c>
      <c r="AF74" s="4">
        <f t="shared" si="5"/>
        <v>171.6</v>
      </c>
    </row>
    <row r="75" spans="1:32" x14ac:dyDescent="0.35">
      <c r="A75">
        <v>15</v>
      </c>
      <c r="B75" t="s">
        <v>105</v>
      </c>
      <c r="C75">
        <v>0</v>
      </c>
      <c r="D75" s="3">
        <v>4</v>
      </c>
      <c r="E75">
        <v>0</v>
      </c>
      <c r="F75">
        <v>0</v>
      </c>
      <c r="G75" s="3">
        <v>2</v>
      </c>
      <c r="H75" s="3">
        <v>2</v>
      </c>
      <c r="I75" s="3">
        <v>2</v>
      </c>
      <c r="J75">
        <v>0</v>
      </c>
      <c r="K75" s="3">
        <v>4</v>
      </c>
      <c r="L75" s="3">
        <v>4</v>
      </c>
      <c r="M75" s="3">
        <v>4</v>
      </c>
      <c r="N75">
        <v>0</v>
      </c>
      <c r="O75">
        <v>0</v>
      </c>
      <c r="P75">
        <v>0</v>
      </c>
      <c r="Q75" s="3">
        <v>3</v>
      </c>
      <c r="R75" s="3">
        <v>3</v>
      </c>
      <c r="S75" s="3">
        <v>3</v>
      </c>
      <c r="T75">
        <v>0</v>
      </c>
      <c r="U75">
        <v>0</v>
      </c>
      <c r="V75" s="3">
        <v>3</v>
      </c>
      <c r="W75">
        <v>0</v>
      </c>
      <c r="X75">
        <v>0</v>
      </c>
      <c r="Y75">
        <v>0</v>
      </c>
      <c r="Z75">
        <v>0</v>
      </c>
      <c r="AA75" s="3">
        <v>5</v>
      </c>
      <c r="AB75">
        <v>0</v>
      </c>
      <c r="AC75">
        <v>0</v>
      </c>
      <c r="AD75">
        <v>117</v>
      </c>
      <c r="AE75" s="4">
        <f t="shared" si="4"/>
        <v>290.39999999999998</v>
      </c>
      <c r="AF75" s="4">
        <f t="shared" si="5"/>
        <v>161.1</v>
      </c>
    </row>
    <row r="76" spans="1:32" x14ac:dyDescent="0.35">
      <c r="A76">
        <v>15</v>
      </c>
      <c r="B76" t="s">
        <v>106</v>
      </c>
      <c r="C76">
        <v>0</v>
      </c>
      <c r="D76">
        <v>0</v>
      </c>
      <c r="E76">
        <v>0</v>
      </c>
      <c r="F76" s="3">
        <v>4</v>
      </c>
      <c r="G76" s="3">
        <v>2</v>
      </c>
      <c r="H76" s="3">
        <v>2</v>
      </c>
      <c r="I76">
        <v>0</v>
      </c>
      <c r="J76" s="3">
        <v>3</v>
      </c>
      <c r="K76">
        <v>0</v>
      </c>
      <c r="L76">
        <v>0</v>
      </c>
      <c r="M76" s="3">
        <v>4</v>
      </c>
      <c r="N76" s="3">
        <v>5</v>
      </c>
      <c r="O76" s="3">
        <v>3</v>
      </c>
      <c r="P76" s="3">
        <v>3</v>
      </c>
      <c r="Q76" s="3">
        <v>3</v>
      </c>
      <c r="R76">
        <v>0</v>
      </c>
      <c r="S76" s="3">
        <v>3</v>
      </c>
      <c r="T76" s="3">
        <v>3</v>
      </c>
      <c r="U76" s="3">
        <v>3</v>
      </c>
      <c r="V76" s="3">
        <v>3</v>
      </c>
      <c r="W76">
        <v>0</v>
      </c>
      <c r="X76">
        <v>0</v>
      </c>
      <c r="Y76">
        <v>0</v>
      </c>
      <c r="Z76">
        <v>0</v>
      </c>
      <c r="AA76" s="3">
        <v>5</v>
      </c>
      <c r="AB76">
        <v>0</v>
      </c>
      <c r="AC76">
        <v>0</v>
      </c>
      <c r="AD76">
        <v>127.5</v>
      </c>
      <c r="AE76" s="4">
        <f t="shared" si="4"/>
        <v>303.59999999999997</v>
      </c>
      <c r="AF76" s="4">
        <f t="shared" si="5"/>
        <v>170.1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Kefan Chen</cp:lastModifiedBy>
  <dcterms:created xsi:type="dcterms:W3CDTF">2026-08-07T11:04:42Z</dcterms:created>
  <dcterms:modified xsi:type="dcterms:W3CDTF">2026-08-11T08:27:38Z</dcterms:modified>
</cp:coreProperties>
</file>